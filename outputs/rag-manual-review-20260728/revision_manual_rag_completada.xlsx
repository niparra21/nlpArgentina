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ables/table1.xml" ContentType="application/vnd.openxmlformats-officedocument.spreadsheetml.table+xml"/>
  <Override PartName="/xl/worksheets/sheet4.xml" ContentType="application/vnd.openxmlformats-officedocument.spreadsheetml.worksheet+xml"/>
  <Override PartName="/xl/tables/table2.xml" ContentType="application/vnd.openxmlformats-officedocument.spreadsheetml.table+xml"/>
  <Override PartName="/xl/worksheets/sheet5.xml" ContentType="application/vnd.openxmlformats-officedocument.spreadsheetml.worksheet+xml"/>
  <Override PartName="/xl/tables/table3.xml" ContentType="application/vnd.openxmlformats-officedocument.spreadsheetml.table+xml"/>
  <Override PartName="/xl/worksheets/sheet6.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f3fa7af5c4734718" /></Relationships>
</file>

<file path=xl/workbook.xml><?xml version="1.0" encoding="utf-8"?>
<x:workbook xmlns:x="http://schemas.openxmlformats.org/spreadsheetml/2006/main">
  <x:sheets>
    <x:sheet xmlns:r="http://schemas.openxmlformats.org/officeDocument/2006/relationships" name="Guía" sheetId="1" r:id="Re4bbf1231a854ca8"/>
    <x:sheet xmlns:r="http://schemas.openxmlformats.org/officeDocument/2006/relationships" name="Resumen" sheetId="2" r:id="R69b9fef53ac84a6b"/>
    <x:sheet xmlns:r="http://schemas.openxmlformats.org/officeDocument/2006/relationships" name="Revisión" sheetId="3" r:id="Rbc5add231edb4ec2"/>
    <x:sheet xmlns:r="http://schemas.openxmlformats.org/officeDocument/2006/relationships" name="Datos base" sheetId="4" r:id="Rfad7ac1319584aec"/>
    <x:sheet xmlns:r="http://schemas.openxmlformats.org/officeDocument/2006/relationships" name="Evidencia" sheetId="5" r:id="R5ab7f5c35f35409d"/>
    <x:sheet xmlns:r="http://schemas.openxmlformats.org/officeDocument/2006/relationships" name="Catálogos" sheetId="6" r:id="R76afa70a25c643fc"/>
  </x:sheets>
</x:workbook>
</file>

<file path=xl/sharedStrings.xml><?xml version="1.0" encoding="utf-8"?>
<x:sst xmlns:x="http://schemas.openxmlformats.org/spreadsheetml/2006/main"/>
</file>

<file path=xl/styles.xml><?xml version="1.0" encoding="utf-8"?>
<x:styleSheet xmlns:x="http://schemas.openxmlformats.org/spreadsheetml/2006/main">
  <x:numFmts count="4">
    <x:numFmt numFmtId="200" formatCode="0.00"/>
    <x:numFmt numFmtId="201" formatCode="0.0000"/>
    <x:numFmt numFmtId="202" formatCode="yyyy-mm-dd"/>
    <x:numFmt numFmtId="203" formatCode="0.0%"/>
  </x:numFmts>
  <x:fonts count="8">
    <x:font>
      <x:sz val="11"/>
      <x:name val="Carlito"/>
    </x:font>
    <x:font>
      <x:b/>
      <x:sz val="10"/>
      <x:color rgb="FFFFFFFF"/>
      <x:name val="Carlito"/>
    </x:font>
    <x:font>
      <x:b/>
      <x:sz val="18"/>
      <x:color rgb="FFFFFFFF"/>
      <x:name val="Carlito"/>
    </x:font>
    <x:font>
      <x:i/>
      <x:sz val="11"/>
      <x:color rgb="FF595959"/>
      <x:name val="Carlito"/>
    </x:font>
    <x:font>
      <x:b/>
      <x:sz val="12"/>
      <x:color rgb="FFFFFFFF"/>
      <x:name val="Carlito"/>
    </x:font>
    <x:font>
      <x:sz val="11"/>
      <x:color rgb="FF595959"/>
      <x:name val="Carlito"/>
    </x:font>
    <x:font>
      <x:b/>
      <x:sz val="11"/>
      <x:color rgb="FF17324D"/>
      <x:name val="Carlito"/>
    </x:font>
    <x:font>
      <x:b/>
      <x:sz val="11"/>
      <x:name val="Carlito"/>
    </x:font>
  </x:fonts>
  <x:fills count="8">
    <x:fill>
      <x:patternFill patternType="none"/>
    </x:fill>
    <x:fill>
      <x:patternFill patternType="gray125"/>
    </x:fill>
    <x:fill>
      <x:patternFill patternType="solid">
        <x:fgColor rgb="FF17324D"/>
      </x:patternFill>
    </x:fill>
    <x:fill>
      <x:patternFill patternType="solid">
        <x:fgColor rgb="FFEAF2F8"/>
      </x:patternFill>
    </x:fill>
    <x:fill>
      <x:patternFill patternType="solid">
        <x:fgColor rgb="FFF7F9FB"/>
      </x:patternFill>
    </x:fill>
    <x:fill>
      <x:patternFill patternType="solid">
        <x:fgColor rgb="FFFFF2CC"/>
      </x:patternFill>
    </x:fill>
    <x:fill>
      <x:patternFill patternType="solid">
        <x:fgColor rgb="FF0F766E"/>
      </x:patternFill>
    </x:fill>
    <x:fill>
      <x:patternFill patternType="solid">
        <x:fgColor rgb="FFDDEBF7"/>
      </x:patternFill>
    </x:fill>
  </x:fills>
  <x:borders count="5">
    <x:border/>
    <x:border>
      <x:bottom style="medium">
        <x:color rgb="FF17324D"/>
      </x:bottom>
    </x:border>
    <x:border>
      <x:bottom style="thin">
        <x:color rgb="FFD9E2F3"/>
      </x:bottom>
    </x:border>
    <x:border>
      <x:top style="thin">
        <x:color rgb="FFD9E2F3"/>
      </x:top>
      <x:bottom style="thin">
        <x:color rgb="FFD9E2F3"/>
      </x:bottom>
    </x:border>
    <x:border>
      <x:top style="thin">
        <x:color rgb="FFD9E2F3"/>
      </x:top>
    </x:border>
  </x:borders>
  <x:cellStyleXfs count="1">
    <x:xf numFmtId="0" fontId="0" fillId="0" borderId="0"/>
  </x:cellStyleXfs>
  <x:cellXfs count="57">
    <x:xf numFmtId="0" fontId="0" fillId="0" borderId="0" xfId="0"/>
    <x:xf numFmtId="0" fontId="0" fillId="2" borderId="0" xfId="0" applyNumberFormat="1" applyFont="1" applyFill="1" applyBorder="1"/>
    <x:xf numFmtId="0" fontId="1" fillId="2" borderId="0" xfId="0" applyNumberFormat="1" applyFont="1" applyFill="1" applyBorder="1"/>
    <x:xf numFmtId="0" fontId="1" fillId="2" borderId="1" xfId="0" applyNumberFormat="1" applyFont="1" applyFill="1" applyBorder="1"/>
    <x:xf numFmtId="0" fontId="1" fillId="2" borderId="1" xfId="0" applyNumberFormat="1" applyFont="1" applyFill="1" applyBorder="1" applyAlignment="1">
      <x:alignment wrapText="1"/>
    </x:xf>
    <x:xf numFmtId="0" fontId="1" fillId="2" borderId="1" xfId="0" applyNumberFormat="1" applyFont="1" applyFill="1" applyBorder="1" applyAlignment="1">
      <x:alignment horizontal="center" wrapText="1"/>
    </x:xf>
    <x:xf numFmtId="0" fontId="1" fillId="2" borderId="1" xfId="0" applyNumberFormat="1" applyFont="1" applyFill="1" applyBorder="1" applyAlignment="1">
      <x:alignment horizontal="center" vertical="center" wrapText="1"/>
    </x:xf>
    <x:xf numFmtId="0" fontId="0" fillId="3" borderId="0" xfId="0" applyNumberFormat="1" applyFont="1" applyFill="1" applyBorder="1"/>
    <x:xf numFmtId="0" fontId="0" fillId="3" borderId="2" xfId="0" applyNumberFormat="1" applyFont="1" applyFill="1" applyBorder="1"/>
    <x:xf numFmtId="0" fontId="0" fillId="3" borderId="3" xfId="0" applyNumberFormat="1" applyFont="1" applyFill="1" applyBorder="1"/>
    <x:xf numFmtId="0" fontId="0" fillId="3" borderId="4" xfId="0" applyNumberFormat="1" applyFont="1" applyFill="1" applyBorder="1"/>
    <x:xf numFmtId="0" fontId="0" fillId="0" borderId="0" xfId="0" applyNumberFormat="1" applyFont="1" applyFill="1" applyBorder="1" applyAlignment="1">
      <x:alignment vertical="top"/>
    </x:xf>
    <x:xf numFmtId="0" fontId="0" fillId="0" borderId="0" xfId="0" applyNumberFormat="1" applyFont="1" applyFill="1" applyBorder="1" applyAlignment="1">
      <x:alignment vertical="top" wrapText="1"/>
    </x:xf>
    <x:xf numFmtId="200" fontId="0" fillId="0" borderId="0" xfId="0" applyNumberFormat="1" applyFont="1" applyFill="1" applyBorder="1" applyAlignment="1">
      <x:alignment vertical="top"/>
    </x:xf>
    <x:xf numFmtId="201" fontId="0" fillId="0" borderId="0" xfId="0" applyNumberFormat="1" applyFont="1" applyFill="1" applyBorder="1" applyAlignment="1">
      <x:alignment vertical="top"/>
    </x:xf>
    <x:xf numFmtId="0" fontId="0" fillId="4" borderId="0" xfId="0" applyNumberFormat="1" applyFont="1" applyFill="1" applyBorder="1"/>
    <x:xf numFmtId="0" fontId="0" fillId="4" borderId="0" xfId="0" applyNumberFormat="1" applyFont="1" applyFill="1" applyBorder="1" applyAlignment="1">
      <x:alignment vertical="top"/>
    </x:xf>
    <x:xf numFmtId="0" fontId="0" fillId="5" borderId="0" xfId="0" applyNumberFormat="1" applyFont="1" applyFill="1" applyBorder="1"/>
    <x:xf numFmtId="0" fontId="0" fillId="5" borderId="0" xfId="0" applyNumberFormat="1" applyFont="1" applyFill="1" applyBorder="1" applyAlignment="1">
      <x:alignment vertical="top"/>
    </x:xf>
    <x:xf numFmtId="0" fontId="0" fillId="3" borderId="0" xfId="0" applyNumberFormat="1" applyFont="1" applyFill="1" applyBorder="1" applyAlignment="1">
      <x:alignment horizontal="center"/>
    </x:xf>
    <x:xf numFmtId="0" fontId="0" fillId="3" borderId="0" xfId="0" applyNumberFormat="1" applyFont="1" applyFill="1" applyBorder="1" applyAlignment="1">
      <x:alignment horizontal="center" vertical="top"/>
    </x:xf>
    <x:xf numFmtId="0" fontId="0" fillId="4" borderId="0" xfId="0" applyNumberFormat="1" applyFont="1" applyFill="1" applyBorder="1" applyAlignment="1">
      <x:alignment vertical="top" wrapText="1"/>
    </x:xf>
    <x:xf numFmtId="0" fontId="0" fillId="5" borderId="0" xfId="0" applyNumberFormat="1" applyFont="1" applyFill="1" applyBorder="1" applyAlignment="1">
      <x:alignment vertical="top" wrapText="1"/>
    </x:xf>
    <x:xf numFmtId="202" fontId="0" fillId="5" borderId="0" xfId="0" applyNumberFormat="1" applyFont="1" applyFill="1" applyBorder="1" applyAlignment="1">
      <x:alignment vertical="top" wrapText="1"/>
    </x:xf>
    <x:xf numFmtId="0" fontId="2" fillId="2" borderId="0" xfId="0" applyNumberFormat="1" applyFont="1" applyFill="1" applyBorder="1"/>
    <x:xf numFmtId="0" fontId="2" fillId="2" borderId="0" xfId="0" applyNumberFormat="1" applyFont="1" applyFill="1" applyBorder="1" applyAlignment="1">
      <x:alignment horizontal="left"/>
    </x:xf>
    <x:xf numFmtId="0" fontId="2" fillId="2" borderId="0" xfId="0" applyNumberFormat="1" applyFont="1" applyFill="1" applyBorder="1" applyAlignment="1">
      <x:alignment horizontal="left" vertical="center"/>
    </x:xf>
    <x:xf numFmtId="0" fontId="3" fillId="3" borderId="0" xfId="0" applyNumberFormat="1" applyFont="1" applyFill="1" applyBorder="1"/>
    <x:xf numFmtId="0" fontId="3" fillId="3" borderId="0" xfId="0" applyNumberFormat="1" applyFont="1" applyFill="1" applyBorder="1" applyAlignment="1">
      <x:alignment wrapText="1"/>
    </x:xf>
    <x:xf numFmtId="0" fontId="0" fillId="6" borderId="0" xfId="0" applyNumberFormat="1" applyFont="1" applyFill="1" applyBorder="1"/>
    <x:xf numFmtId="0" fontId="4" fillId="6" borderId="0" xfId="0" applyNumberFormat="1" applyFont="1" applyFill="1" applyBorder="1"/>
    <x:xf numFmtId="0" fontId="4" fillId="6" borderId="0" xfId="0" applyNumberFormat="1" applyFont="1" applyFill="1" applyBorder="1" applyAlignment="1">
      <x:alignment vertical="center"/>
    </x:xf>
    <x:xf numFmtId="203" fontId="0" fillId="0" borderId="0" xfId="0" applyNumberFormat="1" applyFont="1" applyFill="1" applyBorder="1"/>
    <x:xf numFmtId="0" fontId="0" fillId="7" borderId="0" xfId="0" applyNumberFormat="1" applyFont="1" applyFill="1" applyBorder="1"/>
    <x:xf numFmtId="200" fontId="0" fillId="7" borderId="0" xfId="0" applyNumberFormat="1" applyFont="1" applyFill="1" applyBorder="1"/>
    <x:xf numFmtId="0" fontId="3" fillId="4" borderId="0" xfId="0" applyNumberFormat="1" applyFont="1" applyFill="1" applyBorder="1"/>
    <x:xf numFmtId="0" fontId="3" fillId="4" borderId="0" xfId="0" applyNumberFormat="1" applyFont="1" applyFill="1" applyBorder="1" applyAlignment="1">
      <x:alignment wrapText="1"/>
    </x:xf>
    <x:xf numFmtId="200" fontId="0" fillId="0" borderId="0" xfId="0" applyNumberFormat="1" applyFont="1" applyFill="1" applyBorder="1"/>
    <x:xf numFmtId="0" fontId="5" fillId="3" borderId="0" xfId="0" applyNumberFormat="1" applyFont="1" applyFill="1" applyBorder="1"/>
    <x:xf numFmtId="0" fontId="5" fillId="3" borderId="0" xfId="0" applyNumberFormat="1" applyFont="1" applyFill="1" applyBorder="1" applyAlignment="1">
      <x:alignment wrapText="1"/>
    </x:xf>
    <x:xf numFmtId="0" fontId="4" fillId="6" borderId="2" xfId="0" applyNumberFormat="1" applyFont="1" applyFill="1" applyBorder="1" applyAlignment="1">
      <x:alignment vertical="center"/>
    </x:xf>
    <x:xf numFmtId="0" fontId="0" fillId="0" borderId="2" xfId="0" applyNumberFormat="1" applyFont="1" applyFill="1" applyBorder="1"/>
    <x:xf numFmtId="0" fontId="0" fillId="0" borderId="3" xfId="0" applyNumberFormat="1" applyFont="1" applyFill="1" applyBorder="1"/>
    <x:xf numFmtId="203" fontId="0" fillId="0" borderId="3" xfId="0" applyNumberFormat="1" applyFont="1" applyFill="1" applyBorder="1"/>
    <x:xf numFmtId="0" fontId="4" fillId="6" borderId="3" xfId="0" applyNumberFormat="1" applyFont="1" applyFill="1" applyBorder="1" applyAlignment="1">
      <x:alignment vertical="center"/>
    </x:xf>
    <x:xf numFmtId="200" fontId="0" fillId="7" borderId="3" xfId="0" applyNumberFormat="1" applyFont="1" applyFill="1" applyBorder="1"/>
    <x:xf numFmtId="0" fontId="3" fillId="4" borderId="3" xfId="0" applyNumberFormat="1" applyFont="1" applyFill="1" applyBorder="1" applyAlignment="1">
      <x:alignment wrapText="1"/>
    </x:xf>
    <x:xf numFmtId="0" fontId="1" fillId="2" borderId="3" xfId="0" applyNumberFormat="1" applyFont="1" applyFill="1" applyBorder="1" applyAlignment="1">
      <x:alignment horizontal="center" vertical="center" wrapText="1"/>
    </x:xf>
    <x:xf numFmtId="0" fontId="5" fillId="3" borderId="3" xfId="0" applyNumberFormat="1" applyFont="1" applyFill="1" applyBorder="1" applyAlignment="1">
      <x:alignment wrapText="1"/>
    </x:xf>
    <x:xf numFmtId="0" fontId="0" fillId="0" borderId="4" xfId="0" applyNumberFormat="1" applyFont="1" applyFill="1" applyBorder="1"/>
    <x:xf numFmtId="200" fontId="0" fillId="0" borderId="4" xfId="0" applyNumberFormat="1" applyFont="1" applyFill="1" applyBorder="1"/>
    <x:xf numFmtId="0" fontId="5" fillId="3" borderId="4" xfId="0" applyNumberFormat="1" applyFont="1" applyFill="1" applyBorder="1" applyAlignment="1">
      <x:alignment wrapText="1"/>
    </x:xf>
    <x:xf numFmtId="0" fontId="0" fillId="3" borderId="0" xfId="0" applyNumberFormat="1" applyFont="1" applyFill="1" applyBorder="1" applyAlignment="1">
      <x:alignment wrapText="1"/>
    </x:xf>
    <x:xf numFmtId="0" fontId="0" fillId="3" borderId="0" xfId="0" applyNumberFormat="1" applyFont="1" applyFill="1" applyBorder="1" applyAlignment="1">
      <x:alignment vertical="center" wrapText="1"/>
    </x:xf>
    <x:xf numFmtId="0" fontId="6" fillId="7" borderId="0" xfId="0" applyNumberFormat="1" applyFont="1" applyFill="1" applyBorder="1"/>
    <x:xf numFmtId="0" fontId="0" fillId="0" borderId="0" xfId="0" applyNumberFormat="1" applyFont="1" applyFill="1" applyBorder="1" applyAlignment="1">
      <x:alignment wrapText="1"/>
    </x:xf>
    <x:xf numFmtId="0" fontId="7" fillId="5" borderId="0" xfId="0" applyNumberFormat="1" applyFont="1" applyFill="1" applyBorder="1"/>
  </x:cellXfs>
  <x:cellStyles count="1">
    <x:cellStyle name="Normal" xfId="0"/>
  </x:cellStyles>
  <x:dxfs count="9">
    <x:dxf>
      <x:font>
        <x:b/>
        <x:color rgb="FF9C0006"/>
      </x:font>
      <x:fill>
        <x:patternFill>
          <x:bgColor rgb="FFF4CCCC"/>
        </x:patternFill>
      </x:fill>
    </x:dxf>
    <x:dxf>
      <x:font>
        <x:b/>
        <x:color rgb="FF9C5700"/>
      </x:font>
      <x:fill>
        <x:patternFill>
          <x:bgColor rgb="FFFCE5CD"/>
        </x:patternFill>
      </x:fill>
    </x:dxf>
    <x:dxf>
      <x:font>
        <x:b/>
        <x:color rgb="FF7F6000"/>
      </x:font>
      <x:fill>
        <x:patternFill>
          <x:bgColor rgb="FFFFF2CC"/>
        </x:patternFill>
      </x:fill>
    </x:dxf>
    <x:dxf>
      <x:font>
        <x:color rgb="FF274E13"/>
      </x:font>
      <x:fill>
        <x:patternFill>
          <x:bgColor rgb="FFD9EAD3"/>
        </x:patternFill>
      </x:fill>
    </x:dxf>
    <x:dxf>
      <x:font>
        <x:b/>
        <x:color rgb="FF274E13"/>
      </x:font>
      <x:fill>
        <x:patternFill>
          <x:bgColor rgb="FFD9EAD3"/>
        </x:patternFill>
      </x:fill>
    </x:dxf>
    <x:dxf>
      <x:font>
        <x:b/>
        <x:color rgb="FF7F6000"/>
      </x:font>
      <x:fill>
        <x:patternFill>
          <x:bgColor rgb="FFFFF2CC"/>
        </x:patternFill>
      </x:fill>
    </x:dxf>
    <x:dxf>
      <x:font>
        <x:b/>
        <x:color rgb="FF9C0006"/>
      </x:font>
      <x:fill>
        <x:patternFill>
          <x:bgColor rgb="FFF4CCCC"/>
        </x:patternFill>
      </x:fill>
    </x:dxf>
    <x:dxf>
      <x:font>
        <x:b/>
        <x:color rgb="FF274E13"/>
      </x:font>
      <x:fill>
        <x:patternFill>
          <x:bgColor rgb="FFD9EAD3"/>
        </x:patternFill>
      </x:fill>
    </x:dxf>
    <x:dxf>
      <x:font>
        <x:color rgb="FF7F6000"/>
      </x:font>
      <x:fill>
        <x:patternFill>
          <x:bgColor rgb="FFFFF2CC"/>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eeaec17cb0f24f8b" /><Relationship Type="http://schemas.openxmlformats.org/officeDocument/2006/relationships/theme" Target="/xl/theme/theme1.xml" Id="Rbd4d3d6ee32145a4" /><Relationship Type="http://schemas.openxmlformats.org/officeDocument/2006/relationships/sharedStrings" Target="/xl/sharedStrings.xml" Id="R0f9825b75d6e43dd" /><Relationship Type="http://schemas.openxmlformats.org/officeDocument/2006/relationships/worksheet" Target="/xl/worksheets/sheet1.xml" Id="Re4bbf1231a854ca8" /><Relationship Type="http://schemas.openxmlformats.org/officeDocument/2006/relationships/worksheet" Target="/xl/worksheets/sheet2.xml" Id="R69b9fef53ac84a6b" /><Relationship Type="http://schemas.openxmlformats.org/officeDocument/2006/relationships/worksheet" Target="/xl/worksheets/sheet3.xml" Id="Rbc5add231edb4ec2" /><Relationship Type="http://schemas.openxmlformats.org/officeDocument/2006/relationships/worksheet" Target="/xl/worksheets/sheet4.xml" Id="Rfad7ac1319584aec" /><Relationship Type="http://schemas.openxmlformats.org/officeDocument/2006/relationships/worksheet" Target="/xl/worksheets/sheet5.xml" Id="R5ab7f5c35f35409d" /><Relationship Type="http://schemas.openxmlformats.org/officeDocument/2006/relationships/worksheet" Target="/xl/worksheets/sheet6.xml" Id="R76afa70a25c643fc" /></Relationships>
</file>

<file path=xl/tables/table1.xml><?xml version="1.0" encoding="utf-8"?>
<x:table xmlns:x="http://schemas.openxmlformats.org/spreadsheetml/2006/main" id="3" name="RevisionTable" displayName="RevisionTable" ref="A1:W41" headerRowCount="1" totalsRowCount="0" totalsRowShown="0">
  <x:tableColumns count="23">
    <x:tableColumn id="1" name="Question ID"/>
    <x:tableColumn id="2" name="Tipo"/>
    <x:tableColumn id="3" name="Categoría"/>
    <x:tableColumn id="4" name="Pregunta"/>
    <x:tableColumn id="5" name="Respuesta esperada"/>
    <x:tableColumn id="6" name="Estado sistema"/>
    <x:tableColumn id="7" name="Respuesta generada / bruta"/>
    <x:tableColumn id="8" name="Citas"/>
    <x:tableColumn id="9" name="Record IDs citados"/>
    <x:tableColumn id="10" name="Record IDs gold"/>
    <x:tableColumn id="11" name="Retrieval hit"/>
    <x:tableColumn id="12" name="Citation hit"/>
    <x:tableColumn id="13" name="Prioridad"/>
    <x:tableColumn id="14" name="Corrección factual"/>
    <x:tableColumn id="15" name="Cobertura"/>
    <x:tableColumn id="16" name="Fidelidad a fuentes"/>
    <x:tableColumn id="17" name="Claridad"/>
    <x:tableColumn id="18" name="Gold adecuado"/>
    <x:tableColumn id="19" name="Conclusión manual"/>
    <x:tableColumn id="20" name="Notas"/>
    <x:tableColumn id="21" name="Revisor"/>
    <x:tableColumn id="22" name="Fecha revisión"/>
    <x:tableColumn id="23" name="Revisión completa"/>
  </x:tableColumns>
  <x:tableStyleInfo name="TableStyleMedium2" showFirstColumn="0" showLastColumn="0" showRowStripes="1" showColumnStripes="0"/>
</x:table>
</file>

<file path=xl/tables/table2.xml><?xml version="1.0" encoding="utf-8"?>
<x:table xmlns:x="http://schemas.openxmlformats.org/spreadsheetml/2006/main" id="1" name="DatosBaseTable" displayName="DatosBaseTable" ref="A1:W41" headerRowCount="1" totalsRowCount="0" totalsRowShown="0">
  <x:tableColumns count="23">
    <x:tableColumn id="1" name="Posición"/>
    <x:tableColumn id="2" name="Question ID"/>
    <x:tableColumn id="3" name="Tipo"/>
    <x:tableColumn id="4" name="Categoría"/>
    <x:tableColumn id="5" name="Respondible gold"/>
    <x:tableColumn id="6" name="Pregunta"/>
    <x:tableColumn id="7" name="Respuesta esperada"/>
    <x:tableColumn id="8" name="Estado sistema"/>
    <x:tableColumn id="9" name="Respuesta generada"/>
    <x:tableColumn id="10" name="Citas declaradas"/>
    <x:tableColumn id="11" name="Record IDs citados"/>
    <x:tableColumn id="12" name="Record IDs gold"/>
    <x:tableColumn id="13" name="Retrieval hit"/>
    <x:tableColumn id="14" name="Citation hit"/>
    <x:tableColumn id="15" name="Status correcto"/>
    <x:tableColumn id="16" name="Error estructural"/>
    <x:tableColumn id="17" name="Mensaje de error"/>
    <x:tableColumn id="18" name="Salida bruta de error"/>
    <x:tableColumn id="19" name="Recuperación (ms)"/>
    <x:tableColumn id="20" name="Generación (ms)"/>
    <x:tableColumn id="21" name="Total pregunta (ms)"/>
    <x:tableColumn id="22" name="Tokens/s"/>
    <x:tableColumn id="23" name="Run ID"/>
  </x:tableColumns>
  <x:tableStyleInfo name="TableStyleMedium2" showFirstColumn="0" showLastColumn="0" showRowStripes="1" showColumnStripes="0"/>
</x:table>
</file>

<file path=xl/tables/table3.xml><?xml version="1.0" encoding="utf-8"?>
<x:table xmlns:x="http://schemas.openxmlformats.org/spreadsheetml/2006/main" id="2" name="EvidenciaTable" displayName="EvidenciaTable" ref="A1:M201" headerRowCount="1" totalsRowCount="0" totalsRowShown="0">
  <x:tableColumns count="13">
    <x:tableColumn id="1" name="Question ID"/>
    <x:tableColumn id="2" name="Tipo"/>
    <x:tableColumn id="3" name="Source ID"/>
    <x:tableColumn id="4" name="Rank"/>
    <x:tableColumn id="5" name="Score"/>
    <x:tableColumn id="6" name="Record ID"/>
    <x:tableColumn id="7" name="Esperada gold"/>
    <x:tableColumn id="8" name="Citada por modelo"/>
    <x:tableColumn id="9" name="Etiqueta de cita"/>
    <x:tableColumn id="10" name="URL oficial"/>
    <x:tableColumn id="11" name="Texto del fragmento"/>
    <x:tableColumn id="12" name="Chunk ID"/>
    <x:tableColumn id="13" name="Document ID"/>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3.xml.rels>&#65279;<?xml version="1.0" encoding="utf-8"?><Relationships xmlns="http://schemas.openxmlformats.org/package/2006/relationships"><Relationship Type="http://schemas.openxmlformats.org/officeDocument/2006/relationships/table" Target="/xl/tables/table1.xml" Id="R987bb73f7bef4e97" /></Relationships>
</file>

<file path=xl/worksheets/_rels/sheet4.xml.rels>&#65279;<?xml version="1.0" encoding="utf-8"?><Relationships xmlns="http://schemas.openxmlformats.org/package/2006/relationships"><Relationship Type="http://schemas.openxmlformats.org/officeDocument/2006/relationships/table" Target="/xl/tables/table2.xml" Id="R298fff6e14044fd0" /></Relationships>
</file>

<file path=xl/worksheets/_rels/sheet5.xml.rels>&#65279;<?xml version="1.0" encoding="utf-8"?><Relationships xmlns="http://schemas.openxmlformats.org/package/2006/relationships"><Relationship Type="http://schemas.openxmlformats.org/officeDocument/2006/relationships/table" Target="/xl/tables/table3.xml" Id="R1b4c5107d8f7487d" /></Relationships>
</file>

<file path=xl/worksheets/sheet1.xml><?xml version="1.0" encoding="utf-8"?>
<x:worksheet xmlns:x="http://schemas.openxmlformats.org/spreadsheetml/2006/main">
  <x:sheetViews>
    <x:sheetView showGridLines="0" workbookViewId="0"/>
  </x:sheetViews>
  <x:sheetFormatPr defaultRowHeight="15"/>
  <x:cols>
    <x:col min="1" max="1" width="24" hidden="0" customWidth="1"/>
    <x:col min="2" max="2" width="34" hidden="0" customWidth="1"/>
    <x:col min="3" max="3" width="18" hidden="0" customWidth="1"/>
    <x:col min="4" max="4" width="18" hidden="0" customWidth="1"/>
    <x:col min="5" max="5" width="18" hidden="0" customWidth="1"/>
    <x:col min="6" max="6" width="18" hidden="0" customWidth="1"/>
    <x:col min="7" max="7" width="18" hidden="0" customWidth="1"/>
    <x:col min="8" max="8" width="18" hidden="0" customWidth="1"/>
  </x:cols>
  <x:sheetData>
    <x:row r="1" ht="31" customHeight="1">
      <x:c r="A1" s="26" t="str">
        <x:v>Guía de revisión manual de respuestas RAG</x:v>
      </x:c>
      <x:c r="B1" s="26" t="str">
        <x:v>Guía de revisión manual de respuestas RAG</x:v>
      </x:c>
      <x:c r="C1" s="26" t="str">
        <x:v>Guía de revisión manual de respuestas RAG</x:v>
      </x:c>
      <x:c r="D1" s="26" t="str">
        <x:v>Guía de revisión manual de respuestas RAG</x:v>
      </x:c>
      <x:c r="E1" s="26" t="str">
        <x:v>Guía de revisión manual de respuestas RAG</x:v>
      </x:c>
      <x:c r="F1" s="26" t="str">
        <x:v>Guía de revisión manual de respuestas RAG</x:v>
      </x:c>
      <x:c r="G1" s="26" t="str">
        <x:v>Guía de revisión manual de respuestas RAG</x:v>
      </x:c>
      <x:c r="H1" s="26" t="str">
        <x:v>Guía de revisión manual de respuestas RAG</x:v>
      </x:c>
    </x:row>
    <x:row r="2" ht="31" customHeight="1">
      <x:c r="A2" s="26" t="str">
        <x:v>Guía de revisión manual de respuestas RAG</x:v>
      </x:c>
      <x:c r="B2" s="26" t="str">
        <x:v>Guía de revisión manual de respuestas RAG</x:v>
      </x:c>
      <x:c r="C2" s="26" t="str">
        <x:v>Guía de revisión manual de respuestas RAG</x:v>
      </x:c>
      <x:c r="D2" s="26" t="str">
        <x:v>Guía de revisión manual de respuestas RAG</x:v>
      </x:c>
      <x:c r="E2" s="26" t="str">
        <x:v>Guía de revisión manual de respuestas RAG</x:v>
      </x:c>
      <x:c r="F2" s="26" t="str">
        <x:v>Guía de revisión manual de respuestas RAG</x:v>
      </x:c>
      <x:c r="G2" s="26" t="str">
        <x:v>Guía de revisión manual de respuestas RAG</x:v>
      </x:c>
      <x:c r="H2" s="26" t="str">
        <x:v>Guía de revisión manual de respuestas RAG</x:v>
      </x:c>
    </x:row>
    <x:row r="3" ht="34" customHeight="1">
      <x:c r="A3" s="53" t="str">
        <x:v>Objetivo: evaluar corrección factual, cobertura y fidelidad de las respuestas generadas. Los datos originales están protegidos por separación lógica; edite únicamente las celdas amarillas de Revisión.</x:v>
      </x:c>
      <x:c r="B3" s="53" t="str">
        <x:v>Objetivo: evaluar corrección factual, cobertura y fidelidad de las respuestas generadas. Los datos originales están protegidos por separación lógica; edite únicamente las celdas amarillas de Revisión.</x:v>
      </x:c>
      <x:c r="C3" s="53" t="str">
        <x:v>Objetivo: evaluar corrección factual, cobertura y fidelidad de las respuestas generadas. Los datos originales están protegidos por separación lógica; edite únicamente las celdas amarillas de Revisión.</x:v>
      </x:c>
      <x:c r="D3" s="53" t="str">
        <x:v>Objetivo: evaluar corrección factual, cobertura y fidelidad de las respuestas generadas. Los datos originales están protegidos por separación lógica; edite únicamente las celdas amarillas de Revisión.</x:v>
      </x:c>
      <x:c r="E3" s="53" t="str">
        <x:v>Objetivo: evaluar corrección factual, cobertura y fidelidad de las respuestas generadas. Los datos originales están protegidos por separación lógica; edite únicamente las celdas amarillas de Revisión.</x:v>
      </x:c>
      <x:c r="F3" s="53" t="str">
        <x:v>Objetivo: evaluar corrección factual, cobertura y fidelidad de las respuestas generadas. Los datos originales están protegidos por separación lógica; edite únicamente las celdas amarillas de Revisión.</x:v>
      </x:c>
      <x:c r="G3" s="53" t="str">
        <x:v>Objetivo: evaluar corrección factual, cobertura y fidelidad de las respuestas generadas. Los datos originales están protegidos por separación lógica; edite únicamente las celdas amarillas de Revisión.</x:v>
      </x:c>
      <x:c r="H3" s="53" t="str">
        <x:v>Objetivo: evaluar corrección factual, cobertura y fidelidad de las respuestas generadas. Los datos originales están protegidos por separación lógica; edite únicamente las celdas amarillas de Revisión.</x:v>
      </x:c>
    </x:row>
    <x:row r="4" ht="34" customHeight="1">
      <x:c r="A4" s="53" t="str">
        <x:v>Objetivo: evaluar corrección factual, cobertura y fidelidad de las respuestas generadas. Los datos originales están protegidos por separación lógica; edite únicamente las celdas amarillas de Revisión.</x:v>
      </x:c>
      <x:c r="B4" s="53" t="str">
        <x:v>Objetivo: evaluar corrección factual, cobertura y fidelidad de las respuestas generadas. Los datos originales están protegidos por separación lógica; edite únicamente las celdas amarillas de Revisión.</x:v>
      </x:c>
      <x:c r="C4" s="53" t="str">
        <x:v>Objetivo: evaluar corrección factual, cobertura y fidelidad de las respuestas generadas. Los datos originales están protegidos por separación lógica; edite únicamente las celdas amarillas de Revisión.</x:v>
      </x:c>
      <x:c r="D4" s="53" t="str">
        <x:v>Objetivo: evaluar corrección factual, cobertura y fidelidad de las respuestas generadas. Los datos originales están protegidos por separación lógica; edite únicamente las celdas amarillas de Revisión.</x:v>
      </x:c>
      <x:c r="E4" s="53" t="str">
        <x:v>Objetivo: evaluar corrección factual, cobertura y fidelidad de las respuestas generadas. Los datos originales están protegidos por separación lógica; edite únicamente las celdas amarillas de Revisión.</x:v>
      </x:c>
      <x:c r="F4" s="53" t="str">
        <x:v>Objetivo: evaluar corrección factual, cobertura y fidelidad de las respuestas generadas. Los datos originales están protegidos por separación lógica; edite únicamente las celdas amarillas de Revisión.</x:v>
      </x:c>
      <x:c r="G4" s="53" t="str">
        <x:v>Objetivo: evaluar corrección factual, cobertura y fidelidad de las respuestas generadas. Los datos originales están protegidos por separación lógica; edite únicamente las celdas amarillas de Revisión.</x:v>
      </x:c>
      <x:c r="H4" s="53" t="str">
        <x:v>Objetivo: evaluar corrección factual, cobertura y fidelidad de las respuestas generadas. Los datos originales están protegidos por separación lógica; edite únicamente las celdas amarillas de Revisión.</x:v>
      </x:c>
    </x:row>
    <x:row r="5" ht="25" customHeight="1"/>
    <x:row r="6" ht="25" customHeight="1">
      <x:c r="A6" s="31" t="str">
        <x:v>Flujo recomendado</x:v>
      </x:c>
      <x:c r="B6" s="31" t="str">
        <x:v>Flujo recomendado</x:v>
      </x:c>
      <x:c r="C6" s="31" t="str">
        <x:v>Flujo recomendado</x:v>
      </x:c>
      <x:c r="D6" s="31" t="str">
        <x:v>Flujo recomendado</x:v>
      </x:c>
      <x:c r="E6" s="31" t="str">
        <x:v>Flujo recomendado</x:v>
      </x:c>
      <x:c r="F6" s="31" t="str">
        <x:v>Flujo recomendado</x:v>
      </x:c>
      <x:c r="G6" s="31" t="str">
        <x:v>Flujo recomendado</x:v>
      </x:c>
      <x:c r="H6" s="31" t="str">
        <x:v>Flujo recomendado</x:v>
      </x:c>
    </x:row>
    <x:row r="7" ht="25" customHeight="1">
      <x:c r="A7" s="54" t="str">
        <x:v>Paso 1</x:v>
      </x:c>
      <x:c r="B7" s="55" t="str">
        <x:v>Abra Revisión y filtre por Prioridad.</x:v>
      </x:c>
      <x:c r="C7" s="55"/>
      <x:c r="D7" s="55"/>
      <x:c r="E7" s="55"/>
      <x:c r="F7" s="55"/>
      <x:c r="G7" s="55"/>
      <x:c r="H7" s="55"/>
    </x:row>
    <x:row r="8" ht="25" customHeight="1">
      <x:c r="A8" s="54" t="str">
        <x:v>Paso 2</x:v>
      </x:c>
      <x:c r="B8" s="55" t="str">
        <x:v>Lea pregunta, respuesta gold y respuesta del sistema.</x:v>
      </x:c>
      <x:c r="C8" s="55"/>
      <x:c r="D8" s="55"/>
      <x:c r="E8" s="55"/>
      <x:c r="F8" s="55"/>
      <x:c r="G8" s="55"/>
      <x:c r="H8" s="55"/>
    </x:row>
    <x:row r="9" ht="25" customHeight="1">
      <x:c r="A9" s="54" t="str">
        <x:v>Paso 3</x:v>
      </x:c>
      <x:c r="B9" s="55" t="str">
        <x:v>Filtre Evidencia por Question ID y compruebe los fragmentos.</x:v>
      </x:c>
      <x:c r="C9" s="55"/>
      <x:c r="D9" s="55"/>
      <x:c r="E9" s="55"/>
      <x:c r="F9" s="55"/>
      <x:c r="G9" s="55"/>
      <x:c r="H9" s="55"/>
    </x:row>
    <x:row r="10" ht="25" customHeight="1">
      <x:c r="A10" s="54" t="str">
        <x:v>Paso 4</x:v>
      </x:c>
      <x:c r="B10" s="55" t="str">
        <x:v>Complete las seis listas amarillas, revisor y fecha; agregue notas cuando corresponda.</x:v>
      </x:c>
      <x:c r="C10" s="55"/>
      <x:c r="D10" s="55"/>
      <x:c r="E10" s="55"/>
      <x:c r="F10" s="55"/>
      <x:c r="G10" s="55"/>
      <x:c r="H10" s="55"/>
    </x:row>
    <x:row r="11" ht="25" customHeight="1">
      <x:c r="A11" s="54" t="str">
        <x:v>Paso 5</x:v>
      </x:c>
      <x:c r="B11" s="55" t="str">
        <x:v>Revise Resumen cuando las 40 filas indiquen Revisión completa = Sí.</x:v>
      </x:c>
      <x:c r="C11" s="55"/>
      <x:c r="D11" s="55"/>
      <x:c r="E11" s="55"/>
      <x:c r="F11" s="55"/>
      <x:c r="G11" s="55"/>
      <x:c r="H11" s="55"/>
    </x:row>
    <x:row r="12" ht="25" customHeight="1"/>
    <x:row r="13" ht="25" customHeight="1">
      <x:c r="A13" s="31" t="str">
        <x:v>Rúbrica</x:v>
      </x:c>
      <x:c r="B13" s="31" t="str">
        <x:v>Rúbrica</x:v>
      </x:c>
      <x:c r="C13" s="31" t="str">
        <x:v>Rúbrica</x:v>
      </x:c>
      <x:c r="D13" s="31" t="str">
        <x:v>Rúbrica</x:v>
      </x:c>
      <x:c r="E13" s="31" t="str">
        <x:v>Rúbrica</x:v>
      </x:c>
      <x:c r="F13" s="31" t="str">
        <x:v>Rúbrica</x:v>
      </x:c>
      <x:c r="G13" s="31" t="str">
        <x:v>Rúbrica</x:v>
      </x:c>
      <x:c r="H13" s="31" t="str">
        <x:v>Rúbrica</x:v>
      </x:c>
    </x:row>
    <x:row r="14" ht="25" customHeight="1">
      <x:c r="A14" s="6" t="str">
        <x:v>Criterio</x:v>
      </x:c>
      <x:c r="B14" s="6" t="str">
        <x:v>Valor principal</x:v>
      </x:c>
      <x:c r="C14" s="6" t="str">
        <x:v>Uso</x:v>
      </x:c>
      <x:c r="D14" s="6"/>
      <x:c r="E14" s="6"/>
      <x:c r="F14" s="6"/>
      <x:c r="G14" s="6"/>
      <x:c r="H14" s="6"/>
    </x:row>
    <x:row r="15" ht="25" customHeight="1">
      <x:c r="A15" s="15" t="str">
        <x:v>Corrección factual</x:v>
      </x:c>
      <x:c r="B15" s="15" t="str">
        <x:v>Correcta / Parcial / Incorrecta</x:v>
      </x:c>
      <x:c r="C15" s="55" t="str">
        <x:v>¿Las afirmaciones son verdaderas según la evidencia?</x:v>
      </x:c>
      <x:c r="D15" s="55"/>
      <x:c r="E15" s="55"/>
      <x:c r="F15" s="55"/>
      <x:c r="G15" s="55"/>
      <x:c r="H15" s="55"/>
    </x:row>
    <x:row r="16" ht="25" customHeight="1">
      <x:c r="A16" s="15" t="str">
        <x:v>Cobertura</x:v>
      </x:c>
      <x:c r="B16" s="15" t="str">
        <x:v>Completa / Parcial / Insuficiente</x:v>
      </x:c>
      <x:c r="C16" s="55" t="str">
        <x:v>¿Respondió todas las partes relevantes de la pregunta?</x:v>
      </x:c>
      <x:c r="D16" s="55"/>
      <x:c r="E16" s="55"/>
      <x:c r="F16" s="55"/>
      <x:c r="G16" s="55"/>
      <x:c r="H16" s="55"/>
    </x:row>
    <x:row r="17" ht="25" customHeight="1">
      <x:c r="A17" s="15" t="str">
        <x:v>Fidelidad</x:v>
      </x:c>
      <x:c r="B17" s="15" t="str">
        <x:v>Total / Parcial / No respaldada</x:v>
      </x:c>
      <x:c r="C17" s="55" t="str">
        <x:v>¿Las afirmaciones están sustentadas por las fuentes citadas?</x:v>
      </x:c>
      <x:c r="D17" s="55"/>
      <x:c r="E17" s="55"/>
      <x:c r="F17" s="55"/>
      <x:c r="G17" s="55"/>
      <x:c r="H17" s="55"/>
    </x:row>
    <x:row r="18" ht="25" customHeight="1">
      <x:c r="A18" s="15" t="str">
        <x:v>Claridad</x:v>
      </x:c>
      <x:c r="B18" s="15" t="str">
        <x:v>Clara / Mejorable / Confusa</x:v>
      </x:c>
      <x:c r="C18" s="55" t="str">
        <x:v>¿La respuesta es comprensible y directa?</x:v>
      </x:c>
      <x:c r="D18" s="55"/>
      <x:c r="E18" s="55"/>
      <x:c r="F18" s="55"/>
      <x:c r="G18" s="55"/>
      <x:c r="H18" s="55"/>
    </x:row>
    <x:row r="19" ht="25" customHeight="1">
      <x:c r="A19" s="15" t="str">
        <x:v>Gold adecuado</x:v>
      </x:c>
      <x:c r="B19" s="15" t="str">
        <x:v>Sí / No / Dudosa</x:v>
      </x:c>
      <x:c r="C19" s="55" t="str">
        <x:v>¿La evidencia manual esperada es suficiente y apropiada?</x:v>
      </x:c>
      <x:c r="D19" s="55"/>
      <x:c r="E19" s="55"/>
      <x:c r="F19" s="55"/>
      <x:c r="G19" s="55"/>
      <x:c r="H19" s="55"/>
    </x:row>
    <x:row r="20" ht="25" customHeight="1"/>
    <x:row r="21" ht="25" customHeight="1">
      <x:c r="A21" s="31" t="str">
        <x:v>Reglas de decisión</x:v>
      </x:c>
      <x:c r="B21" s="31" t="str">
        <x:v>Reglas de decisión</x:v>
      </x:c>
      <x:c r="C21" s="31" t="str">
        <x:v>Reglas de decisión</x:v>
      </x:c>
      <x:c r="D21" s="31" t="str">
        <x:v>Reglas de decisión</x:v>
      </x:c>
      <x:c r="E21" s="31" t="str">
        <x:v>Reglas de decisión</x:v>
      </x:c>
      <x:c r="F21" s="31" t="str">
        <x:v>Reglas de decisión</x:v>
      </x:c>
      <x:c r="G21" s="31" t="str">
        <x:v>Reglas de decisión</x:v>
      </x:c>
      <x:c r="H21" s="31" t="str">
        <x:v>Reglas de decisión</x:v>
      </x:c>
    </x:row>
    <x:row r="22" ht="25" customHeight="1">
      <x:c r="A22" s="56" t="str">
        <x:v>Aprobada</x:v>
      </x:c>
      <x:c r="B22" s="55" t="str">
        <x:v>Correcta, con cobertura suficiente y evidencia fiel.</x:v>
      </x:c>
      <x:c r="C22" s="55"/>
      <x:c r="D22" s="55"/>
      <x:c r="E22" s="55"/>
      <x:c r="F22" s="55"/>
      <x:c r="G22" s="55"/>
      <x:c r="H22" s="55"/>
    </x:row>
    <x:row r="23" ht="25" customHeight="1">
      <x:c r="A23" s="56" t="str">
        <x:v>Revisar</x:v>
      </x:c>
      <x:c r="B23" s="55" t="str">
        <x:v>Tiene contenido útil, pero es parcial, ambiguo o requiere verificar el gold.</x:v>
      </x:c>
      <x:c r="C23" s="55"/>
      <x:c r="D23" s="55"/>
      <x:c r="E23" s="55"/>
      <x:c r="F23" s="55"/>
      <x:c r="G23" s="55"/>
      <x:c r="H23" s="55"/>
    </x:row>
    <x:row r="24" ht="25" customHeight="1">
      <x:c r="A24" s="56" t="str">
        <x:v>Rechazada</x:v>
      </x:c>
      <x:c r="B24" s="55" t="str">
        <x:v>Es incorrecta, no está respaldada o presenta una inconsistencia crítica.</x:v>
      </x:c>
      <x:c r="C24" s="55"/>
      <x:c r="D24" s="55"/>
      <x:c r="E24" s="55"/>
      <x:c r="F24" s="55"/>
      <x:c r="G24" s="55"/>
      <x:c r="H24" s="55"/>
    </x:row>
    <x:row r="25" ht="25" customHeight="1">
      <x:c r="A25" s="56" t="str">
        <x:v>No aplica</x:v>
      </x:c>
      <x:c r="B25" s="55" t="str">
        <x:v>Use solo cuando el criterio no corresponda, por ejemplo fidelidad en una abstención correcta.</x:v>
      </x:c>
      <x:c r="C25" s="55"/>
      <x:c r="D25" s="55"/>
      <x:c r="E25" s="55"/>
      <x:c r="F25" s="55"/>
      <x:c r="G25" s="55"/>
      <x:c r="H25" s="55"/>
    </x:row>
    <x:row r="26" ht="25" customHeight="1">
      <x:c r="A26" s="56" t="str">
        <x:v>Pendiente</x:v>
      </x:c>
      <x:c r="B26" s="55" t="str">
        <x:v>No es una opción manual: Revisión completa permanece No hasta llenar los seis criterios, revisor y fecha.</x:v>
      </x:c>
      <x:c r="C26" s="55"/>
      <x:c r="D26" s="55"/>
      <x:c r="E26" s="55"/>
      <x:c r="F26" s="55"/>
      <x:c r="G26" s="55"/>
      <x:c r="H26" s="55"/>
    </x:row>
    <x:row r="27" ht="25" customHeight="1"/>
    <x:row r="28" ht="25" customHeight="1">
      <x:c r="A28" s="31" t="str">
        <x:v>Definiciones y procedencia</x:v>
      </x:c>
      <x:c r="B28" s="31" t="str">
        <x:v>Definiciones y procedencia</x:v>
      </x:c>
      <x:c r="C28" s="31" t="str">
        <x:v>Definiciones y procedencia</x:v>
      </x:c>
      <x:c r="D28" s="31" t="str">
        <x:v>Definiciones y procedencia</x:v>
      </x:c>
      <x:c r="E28" s="31" t="str">
        <x:v>Definiciones y procedencia</x:v>
      </x:c>
      <x:c r="F28" s="31" t="str">
        <x:v>Definiciones y procedencia</x:v>
      </x:c>
      <x:c r="G28" s="31" t="str">
        <x:v>Definiciones y procedencia</x:v>
      </x:c>
      <x:c r="H28" s="31" t="str">
        <x:v>Definiciones y procedencia</x:v>
      </x:c>
    </x:row>
    <x:row r="29" ht="25" customHeight="1">
      <x:c r="A29" s="54" t="str">
        <x:v>Fuente gold</x:v>
      </x:c>
      <x:c r="B29" s="55" t="str">
        <x:v>Record ID seleccionado manualmente como evidencia esperada; puede haber fuentes alternativas válidas.</x:v>
      </x:c>
      <x:c r="C29" s="55"/>
      <x:c r="D29" s="55"/>
      <x:c r="E29" s="55"/>
      <x:c r="F29" s="55"/>
      <x:c r="G29" s="55"/>
      <x:c r="H29" s="55"/>
    </x:row>
    <x:row r="30" ht="25" customHeight="1">
      <x:c r="A30" s="54" t="str">
        <x:v>Source ID</x:v>
      </x:c>
      <x:c r="B30" s="55" t="str">
        <x:v>Etiqueta local F1…F5 válida solamente dentro de una pregunta.</x:v>
      </x:c>
      <x:c r="C30" s="55"/>
      <x:c r="D30" s="55"/>
      <x:c r="E30" s="55"/>
      <x:c r="F30" s="55"/>
      <x:c r="G30" s="55"/>
      <x:c r="H30" s="55"/>
    </x:row>
    <x:row r="31" ht="25" customHeight="1">
      <x:c r="A31" s="54" t="str">
        <x:v>Datos base</x:v>
      </x:c>
      <x:c r="B31" s="55" t="str">
        <x:v>C:\Users\nicop\Documents\GitHub\nlpArgentina\results\rag-evaluation\2026-07-28\qwen3.5-9b-normalized-citations\evaluation.jsonl</x:v>
      </x:c>
      <x:c r="C31" s="55"/>
      <x:c r="D31" s="55"/>
      <x:c r="E31" s="55"/>
      <x:c r="F31" s="55"/>
      <x:c r="G31" s="55"/>
      <x:c r="H31" s="55"/>
    </x:row>
    <x:row r="32" ht="25" customHeight="1">
      <x:c r="A32" s="54" t="str">
        <x:v>Resumen fuente</x:v>
      </x:c>
      <x:c r="B32" s="55" t="str">
        <x:v>C:\Users\nicop\Documents\GitHub\nlpArgentina\results\rag-evaluation\2026-07-28\qwen3.5-9b-normalized-citations\summary.json</x:v>
      </x:c>
      <x:c r="C32" s="55"/>
      <x:c r="D32" s="55"/>
      <x:c r="E32" s="55"/>
      <x:c r="F32" s="55"/>
      <x:c r="G32" s="55"/>
      <x:c r="H32" s="55"/>
    </x:row>
    <x:row r="33" ht="25" customHeight="1">
      <x:c r="A33" s="54" t="str">
        <x:v>Advertencia</x:v>
      </x:c>
      <x:c r="B33" s="55" t="str">
        <x:v>La normativa puede cambiar. Para decisiones académicas o administrativas consulte siempre la fuente oficial.</x:v>
      </x:c>
      <x:c r="C33" s="55"/>
      <x:c r="D33" s="55"/>
      <x:c r="E33" s="55"/>
      <x:c r="F33" s="55"/>
      <x:c r="G33" s="55"/>
      <x:c r="H33" s="55"/>
    </x:row>
    <x:row r="34" ht="25" customHeight="1">
      <x:c r="A34" s="54" t="str">
        <x:v>Responsabilidad</x:v>
      </x:c>
      <x:c r="B34" s="55" t="str">
        <x:v>La conclusión humana debe poder justificarse mediante la hoja Evidencia y sus URLs oficiales.</x:v>
      </x:c>
      <x:c r="C34" s="55"/>
      <x:c r="D34" s="55"/>
      <x:c r="E34" s="55"/>
      <x:c r="F34" s="55"/>
      <x:c r="G34" s="55"/>
      <x:c r="H34" s="55"/>
    </x:row>
  </x:sheetData>
  <x:mergeCells>
    <x:mergeCell ref="A1:H2"/>
    <x:mergeCell ref="A3:H4"/>
    <x:mergeCell ref="A6:H6"/>
    <x:mergeCell ref="B7:H7"/>
    <x:mergeCell ref="B8:H8"/>
    <x:mergeCell ref="B9:H9"/>
    <x:mergeCell ref="B10:H10"/>
    <x:mergeCell ref="B11:H11"/>
    <x:mergeCell ref="A13:H13"/>
    <x:mergeCell ref="C14:H14"/>
    <x:mergeCell ref="C15:H15"/>
    <x:mergeCell ref="C16:H16"/>
    <x:mergeCell ref="C17:H17"/>
    <x:mergeCell ref="C18:H18"/>
    <x:mergeCell ref="C19:H19"/>
    <x:mergeCell ref="A21:H21"/>
    <x:mergeCell ref="B22:H22"/>
    <x:mergeCell ref="B23:H23"/>
    <x:mergeCell ref="B24:H24"/>
    <x:mergeCell ref="B25:H25"/>
    <x:mergeCell ref="B26:H26"/>
    <x:mergeCell ref="A28:H28"/>
    <x:mergeCell ref="B29:H29"/>
    <x:mergeCell ref="B30:H30"/>
    <x:mergeCell ref="B31:H31"/>
    <x:mergeCell ref="B32:H32"/>
    <x:mergeCell ref="B33:H33"/>
    <x:mergeCell ref="B34:H34"/>
  </x:mergeCells>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38" hidden="0" customWidth="1"/>
    <x:col min="2" max="2" width="18" hidden="0" customWidth="1"/>
    <x:col min="3" max="3" width="28" hidden="0" customWidth="1"/>
    <x:col min="4" max="4" width="24" hidden="0" customWidth="1"/>
    <x:col min="5" max="5" width="24" hidden="0" customWidth="1"/>
    <x:col min="6" max="6" width="18" hidden="0" customWidth="1"/>
    <x:col min="7" max="7" width="27" hidden="0" customWidth="1"/>
    <x:col min="8" max="8" width="18" hidden="0" customWidth="1"/>
  </x:cols>
  <x:sheetData>
    <x:row r="1" ht="30" customHeight="1">
      <x:c r="A1" s="26" t="str">
        <x:v>Revisión humana del sistema RAG</x:v>
      </x:c>
      <x:c r="B1" s="26" t="str">
        <x:v>Revisión humana del sistema RAG</x:v>
      </x:c>
      <x:c r="C1" s="26" t="str">
        <x:v>Revisión humana del sistema RAG</x:v>
      </x:c>
      <x:c r="D1" s="26" t="str">
        <x:v>Revisión humana del sistema RAG</x:v>
      </x:c>
      <x:c r="E1" s="26" t="str">
        <x:v>Revisión humana del sistema RAG</x:v>
      </x:c>
      <x:c r="F1" s="26" t="str">
        <x:v>Revisión humana del sistema RAG</x:v>
      </x:c>
      <x:c r="G1" s="26" t="str">
        <x:v>Revisión humana del sistema RAG</x:v>
      </x:c>
      <x:c r="H1" s="26" t="str">
        <x:v>Revisión humana del sistema RAG</x:v>
      </x:c>
    </x:row>
    <x:row r="2" ht="30" customHeight="1">
      <x:c r="A2" s="26" t="str">
        <x:v>Revisión humana del sistema RAG</x:v>
      </x:c>
      <x:c r="B2" s="26" t="str">
        <x:v>Revisión humana del sistema RAG</x:v>
      </x:c>
      <x:c r="C2" s="26" t="str">
        <x:v>Revisión humana del sistema RAG</x:v>
      </x:c>
      <x:c r="D2" s="26" t="str">
        <x:v>Revisión humana del sistema RAG</x:v>
      </x:c>
      <x:c r="E2" s="26" t="str">
        <x:v>Revisión humana del sistema RAG</x:v>
      </x:c>
      <x:c r="F2" s="26" t="str">
        <x:v>Revisión humana del sistema RAG</x:v>
      </x:c>
      <x:c r="G2" s="26" t="str">
        <x:v>Revisión humana del sistema RAG</x:v>
      </x:c>
      <x:c r="H2" s="26" t="str">
        <x:v>Revisión humana del sistema RAG</x:v>
      </x:c>
    </x:row>
    <x:row r="3" ht="24" customHeight="1">
      <x:c r="A3" s="28" t="str">
        <x:v>Los indicadores manuales se actualizan al completar las celdas amarillas de la hoja Revisión.</x:v>
      </x:c>
      <x:c r="B3" s="28" t="str">
        <x:v>Los indicadores manuales se actualizan al completar las celdas amarillas de la hoja Revisión.</x:v>
      </x:c>
      <x:c r="C3" s="28" t="str">
        <x:v>Los indicadores manuales se actualizan al completar las celdas amarillas de la hoja Revisión.</x:v>
      </x:c>
      <x:c r="D3" s="28" t="str">
        <x:v>Los indicadores manuales se actualizan al completar las celdas amarillas de la hoja Revisión.</x:v>
      </x:c>
      <x:c r="E3" s="28" t="str">
        <x:v>Los indicadores manuales se actualizan al completar las celdas amarillas de la hoja Revisión.</x:v>
      </x:c>
      <x:c r="F3" s="28" t="str">
        <x:v>Los indicadores manuales se actualizan al completar las celdas amarillas de la hoja Revisión.</x:v>
      </x:c>
      <x:c r="G3" s="28" t="str">
        <x:v>Los indicadores manuales se actualizan al completar las celdas amarillas de la hoja Revisión.</x:v>
      </x:c>
      <x:c r="H3" s="28" t="str">
        <x:v>Los indicadores manuales se actualizan al completar las celdas amarillas de la hoja Revisión.</x:v>
      </x:c>
    </x:row>
    <x:row r="4" ht="24" customHeight="1"/>
    <x:row r="5" ht="24" customHeight="1">
      <x:c r="A5" s="40" t="str">
        <x:v>Progreso</x:v>
      </x:c>
      <x:c r="B5" s="40" t="str">
        <x:v>Progreso</x:v>
      </x:c>
      <x:c r="C5" s="41"/>
      <x:c r="D5" s="40" t="str">
        <x:v>Conclusiones</x:v>
      </x:c>
      <x:c r="E5" s="40" t="str">
        <x:v>Conclusiones</x:v>
      </x:c>
      <x:c r="F5" s="41"/>
      <x:c r="G5" s="40" t="str">
        <x:v>Corrección factual</x:v>
      </x:c>
      <x:c r="H5" s="40" t="str">
        <x:v>Corrección factual</x:v>
      </x:c>
    </x:row>
    <x:row r="6" ht="24" customHeight="1">
      <x:c r="A6" s="42" t="str">
        <x:v>Preguntas</x:v>
      </x:c>
      <x:c r="B6" s="42" t="n">
        <x:f>COUNTA('Revisión'!$A$2:$A$41)</x:f>
        <x:v>40</x:v>
      </x:c>
      <x:c r="C6" s="42"/>
      <x:c r="D6" s="42" t="str">
        <x:v>Aprobadas</x:v>
      </x:c>
      <x:c r="E6" s="42" t="n">
        <x:f>COUNTIF('Revisión'!$S$2:$S$41,"Aprobada")</x:f>
        <x:v>28</x:v>
      </x:c>
      <x:c r="F6" s="42"/>
      <x:c r="G6" s="42" t="str">
        <x:v>Correctas</x:v>
      </x:c>
      <x:c r="H6" s="42" t="n">
        <x:f>COUNTIF('Revisión'!$N$2:$N$41,"Correcta")</x:f>
        <x:v>26</x:v>
      </x:c>
    </x:row>
    <x:row r="7" ht="24" customHeight="1">
      <x:c r="A7" s="42" t="str">
        <x:v>Revisiones completas</x:v>
      </x:c>
      <x:c r="B7" s="42" t="n">
        <x:f>COUNTIF('Revisión'!$W$2:$W$41,"Sí")</x:f>
        <x:v>40</x:v>
      </x:c>
      <x:c r="C7" s="42"/>
      <x:c r="D7" s="42" t="str">
        <x:v>Revisar</x:v>
      </x:c>
      <x:c r="E7" s="42" t="n">
        <x:f>COUNTIF('Revisión'!$S$2:$S$41,"Revisar")</x:f>
        <x:v>3</x:v>
      </x:c>
      <x:c r="F7" s="42"/>
      <x:c r="G7" s="42" t="str">
        <x:v>Parciales</x:v>
      </x:c>
      <x:c r="H7" s="42" t="n">
        <x:f>COUNTIF('Revisión'!$N$2:$N$41,"Parcial")</x:f>
        <x:v>5</x:v>
      </x:c>
    </x:row>
    <x:row r="8" ht="24" customHeight="1">
      <x:c r="A8" s="42" t="str">
        <x:v>Pendientes</x:v>
      </x:c>
      <x:c r="B8" s="42" t="n">
        <x:f>B6-B7</x:f>
        <x:v>0</x:v>
      </x:c>
      <x:c r="C8" s="42"/>
      <x:c r="D8" s="42" t="str">
        <x:v>Rechazadas</x:v>
      </x:c>
      <x:c r="E8" s="42" t="n">
        <x:f>COUNTIF('Revisión'!$S$2:$S$41,"Rechazada")</x:f>
        <x:v>9</x:v>
      </x:c>
      <x:c r="F8" s="42"/>
      <x:c r="G8" s="42" t="str">
        <x:v>Incorrectas</x:v>
      </x:c>
      <x:c r="H8" s="42" t="n">
        <x:f>COUNTIF('Revisión'!$N$2:$N$41,"Incorrecta")</x:f>
        <x:v>2</x:v>
      </x:c>
    </x:row>
    <x:row r="9" ht="24" customHeight="1">
      <x:c r="A9" s="42" t="str">
        <x:v>Avance</x:v>
      </x:c>
      <x:c r="B9" s="43" t="n">
        <x:f>IFERROR(B7/B6,0)</x:f>
        <x:v>1</x:v>
      </x:c>
      <x:c r="C9" s="42"/>
      <x:c r="D9" s="42" t="str">
        <x:v>No aplica</x:v>
      </x:c>
      <x:c r="E9" s="42" t="n">
        <x:f>COUNTIF('Revisión'!$S$2:$S$41,"No aplica")</x:f>
        <x:v>0</x:v>
      </x:c>
      <x:c r="F9" s="42"/>
      <x:c r="G9" s="42" t="str">
        <x:v>No aplica</x:v>
      </x:c>
      <x:c r="H9" s="42" t="n">
        <x:f>COUNTIF('Revisión'!$N$2:$N$41,"No aplica")</x:f>
        <x:v>7</x:v>
      </x:c>
    </x:row>
    <x:row r="10" ht="24" customHeight="1">
      <x:c r="A10" s="42"/>
      <x:c r="B10" s="42"/>
      <x:c r="C10" s="42"/>
      <x:c r="D10" s="42"/>
      <x:c r="E10" s="42"/>
      <x:c r="F10" s="42"/>
      <x:c r="G10" s="42"/>
      <x:c r="H10" s="42"/>
    </x:row>
    <x:row r="11" ht="24" customHeight="1">
      <x:c r="A11" s="44" t="str">
        <x:v>Indicadores humanos</x:v>
      </x:c>
      <x:c r="B11" s="44" t="str">
        <x:v>Indicadores humanos</x:v>
      </x:c>
      <x:c r="C11" s="44" t="str">
        <x:v>Indicadores humanos</x:v>
      </x:c>
      <x:c r="D11" s="44" t="str">
        <x:v>Indicadores humanos</x:v>
      </x:c>
      <x:c r="E11" s="44" t="str">
        <x:v>Indicadores humanos</x:v>
      </x:c>
      <x:c r="F11" s="44" t="str">
        <x:v>Indicadores humanos</x:v>
      </x:c>
      <x:c r="G11" s="44" t="str">
        <x:v>Indicadores humanos</x:v>
      </x:c>
      <x:c r="H11" s="44" t="str">
        <x:v>Indicadores humanos</x:v>
      </x:c>
    </x:row>
    <x:row r="12" ht="24" customHeight="1">
      <x:c r="A12" s="42" t="str">
        <x:v>Peso asignado a respuesta parcial</x:v>
      </x:c>
      <x:c r="B12" s="45" t="n">
        <x:v>0.5</x:v>
      </x:c>
      <x:c r="C12" s="42"/>
      <x:c r="D12" s="46" t="str">
        <x:v>La tasa estricta usa solo Correcta / (Correcta + Parcial + Incorrecta).</x:v>
      </x:c>
      <x:c r="E12" s="46"/>
      <x:c r="F12" s="46"/>
      <x:c r="G12" s="46"/>
      <x:c r="H12" s="46"/>
    </x:row>
    <x:row r="13" ht="24" customHeight="1">
      <x:c r="A13" s="42" t="str">
        <x:v>Tasa estricta de respuestas correctas</x:v>
      </x:c>
      <x:c r="B13" s="43" t="n">
        <x:f>IFERROR(COUNTIF('Revisión'!$N$2:$N$41,"Correcta")/(COUNTIF('Revisión'!$N$2:$N$41,"Correcta")+COUNTIF('Revisión'!$N$2:$N$41,"Parcial")+COUNTIF('Revisión'!$N$2:$N$41,"Incorrecta")),0)</x:f>
        <x:v>0.7878787878787878</x:v>
      </x:c>
      <x:c r="C13" s="42"/>
      <x:c r="D13" s="46" t="str">
        <x:v>El puntaje ponderado asigna a Parcial el peso visible en B12.</x:v>
      </x:c>
      <x:c r="E13" s="46"/>
      <x:c r="F13" s="46"/>
      <x:c r="G13" s="46"/>
      <x:c r="H13" s="46"/>
    </x:row>
    <x:row r="14" ht="24" customHeight="1">
      <x:c r="A14" s="42" t="str">
        <x:v>Puntaje factual ponderado</x:v>
      </x:c>
      <x:c r="B14" s="43" t="n">
        <x:f>IFERROR((COUNTIF('Revisión'!$N$2:$N$41,"Correcta")+$B$12*COUNTIF('Revisión'!$N$2:$N$41,"Parcial"))/(COUNTIF('Revisión'!$N$2:$N$41,"Correcta")+COUNTIF('Revisión'!$N$2:$N$41,"Parcial")+COUNTIF('Revisión'!$N$2:$N$41,"Incorrecta")),0)</x:f>
        <x:v>0.8636363636363636</x:v>
      </x:c>
      <x:c r="C14" s="42"/>
      <x:c r="D14" s="46" t="str">
        <x:v>Fidelidad y cobertura excluyen las filas marcadas No aplica.</x:v>
      </x:c>
      <x:c r="E14" s="46"/>
      <x:c r="F14" s="46"/>
      <x:c r="G14" s="46"/>
      <x:c r="H14" s="46"/>
    </x:row>
    <x:row r="15" ht="24" customHeight="1">
      <x:c r="A15" s="42" t="str">
        <x:v>Fidelidad total a fuentes</x:v>
      </x:c>
      <x:c r="B15" s="43" t="n">
        <x:f>IFERROR(COUNTIF('Revisión'!$P$2:$P$41,"Total")/(COUNTIF('Revisión'!$P$2:$P$41,"Total")+COUNTIF('Revisión'!$P$2:$P$41,"Parcial")+COUNTIF('Revisión'!$P$2:$P$41,"No respaldada")),0)</x:f>
        <x:v>0.9354838709677419</x:v>
      </x:c>
      <x:c r="C15" s="42"/>
      <x:c r="D15" s="46" t="str">
        <x:v>Las fórmulas usan únicamente las entradas manuales de Revisión.</x:v>
      </x:c>
      <x:c r="E15" s="46"/>
      <x:c r="F15" s="46"/>
      <x:c r="G15" s="46"/>
      <x:c r="H15" s="46"/>
    </x:row>
    <x:row r="16" ht="24" customHeight="1">
      <x:c r="A16" s="42" t="str">
        <x:v>Cobertura completa</x:v>
      </x:c>
      <x:c r="B16" s="43" t="n">
        <x:f>IFERROR(COUNTIF('Revisión'!$O$2:$O$41,"Completa")/(COUNTIF('Revisión'!$O$2:$O$41,"Completa")+COUNTIF('Revisión'!$O$2:$O$41,"Parcial")+COUNTIF('Revisión'!$O$2:$O$41,"Insuficiente")),0)</x:f>
        <x:v>0.7272727272727273</x:v>
      </x:c>
      <x:c r="C16" s="42"/>
      <x:c r="D16" s="46" t="str">
        <x:v>No representan resultados hasta que la revisión esté completa.</x:v>
      </x:c>
      <x:c r="E16" s="46"/>
      <x:c r="F16" s="46"/>
      <x:c r="G16" s="46"/>
      <x:c r="H16" s="46"/>
    </x:row>
    <x:row r="17" ht="24" customHeight="1">
      <x:c r="A17" s="42"/>
      <x:c r="B17" s="42"/>
      <x:c r="C17" s="42"/>
      <x:c r="D17" s="42"/>
      <x:c r="E17" s="42"/>
      <x:c r="F17" s="42"/>
      <x:c r="G17" s="42"/>
      <x:c r="H17" s="42"/>
    </x:row>
    <x:row r="18" ht="24" customHeight="1">
      <x:c r="A18" s="44" t="str">
        <x:v>Desglose por tipo</x:v>
      </x:c>
      <x:c r="B18" s="44" t="str">
        <x:v>Desglose por tipo</x:v>
      </x:c>
      <x:c r="C18" s="44" t="str">
        <x:v>Desglose por tipo</x:v>
      </x:c>
      <x:c r="D18" s="44" t="str">
        <x:v>Desglose por tipo</x:v>
      </x:c>
      <x:c r="E18" s="44" t="str">
        <x:v>Desglose por tipo</x:v>
      </x:c>
      <x:c r="F18" s="44" t="str">
        <x:v>Desglose por tipo</x:v>
      </x:c>
      <x:c r="G18" s="44" t="str">
        <x:v>Desglose por tipo</x:v>
      </x:c>
      <x:c r="H18" s="42"/>
    </x:row>
    <x:row r="19" ht="24" customHeight="1">
      <x:c r="A19" s="47" t="str">
        <x:v>Tipo</x:v>
      </x:c>
      <x:c r="B19" s="47" t="str">
        <x:v>Preguntas</x:v>
      </x:c>
      <x:c r="C19" s="47" t="str">
        <x:v>Revisadas</x:v>
      </x:c>
      <x:c r="D19" s="47" t="str">
        <x:v>Aprobadas</x:v>
      </x:c>
      <x:c r="E19" s="47" t="str">
        <x:v>Correctas</x:v>
      </x:c>
      <x:c r="F19" s="47" t="str">
        <x:v>Parciales</x:v>
      </x:c>
      <x:c r="G19" s="47" t="str">
        <x:v>Incorrectas</x:v>
      </x:c>
      <x:c r="H19" s="42"/>
    </x:row>
    <x:row r="20" ht="24" customHeight="1">
      <x:c r="A20" s="42" t="str">
        <x:v>direct</x:v>
      </x:c>
      <x:c r="B20" s="42" t="n">
        <x:f>COUNTIF('Revisión'!$B$2:$B$41,A20)</x:f>
        <x:v>25</x:v>
      </x:c>
      <x:c r="C20" s="42" t="n">
        <x:f>COUNTIFS('Revisión'!$B$2:$B$41,A20,'Revisión'!$W$2:$W$41,"Sí")</x:f>
        <x:v>25</x:v>
      </x:c>
      <x:c r="D20" s="42" t="n">
        <x:f>COUNTIFS('Revisión'!$B$2:$B$41,A20,'Revisión'!$S$2:$S$41,"Aprobada")</x:f>
        <x:v>19</x:v>
      </x:c>
      <x:c r="E20" s="42" t="n">
        <x:f>COUNTIFS('Revisión'!$B$2:$B$41,A20,'Revisión'!$N$2:$N$41,"Correcta")</x:f>
        <x:v>23</x:v>
      </x:c>
      <x:c r="F20" s="42" t="n">
        <x:f>COUNTIFS('Revisión'!$B$2:$B$41,A20,'Revisión'!$N$2:$N$41,"Parcial")</x:f>
        <x:v>1</x:v>
      </x:c>
      <x:c r="G20" s="42" t="n">
        <x:f>COUNTIFS('Revisión'!$B$2:$B$41,A20,'Revisión'!$N$2:$N$41,"Incorrecta")</x:f>
        <x:v>1</x:v>
      </x:c>
      <x:c r="H20" s="42"/>
    </x:row>
    <x:row r="21" ht="24" customHeight="1">
      <x:c r="A21" s="42" t="str">
        <x:v>multi_section</x:v>
      </x:c>
      <x:c r="B21" s="42" t="n">
        <x:f>COUNTIF('Revisión'!$B$2:$B$41,A21)</x:f>
        <x:v>8</x:v>
      </x:c>
      <x:c r="C21" s="42" t="n">
        <x:f>COUNTIFS('Revisión'!$B$2:$B$41,A21,'Revisión'!$W$2:$W$41,"Sí")</x:f>
        <x:v>8</x:v>
      </x:c>
      <x:c r="D21" s="42" t="n">
        <x:f>COUNTIFS('Revisión'!$B$2:$B$41,A21,'Revisión'!$S$2:$S$41,"Aprobada")</x:f>
        <x:v>2</x:v>
      </x:c>
      <x:c r="E21" s="42" t="n">
        <x:f>COUNTIFS('Revisión'!$B$2:$B$41,A21,'Revisión'!$N$2:$N$41,"Correcta")</x:f>
        <x:v>3</x:v>
      </x:c>
      <x:c r="F21" s="42" t="n">
        <x:f>COUNTIFS('Revisión'!$B$2:$B$41,A21,'Revisión'!$N$2:$N$41,"Parcial")</x:f>
        <x:v>4</x:v>
      </x:c>
      <x:c r="G21" s="42" t="n">
        <x:f>COUNTIFS('Revisión'!$B$2:$B$41,A21,'Revisión'!$N$2:$N$41,"Incorrecta")</x:f>
        <x:v>1</x:v>
      </x:c>
      <x:c r="H21" s="42"/>
    </x:row>
    <x:row r="22" ht="24" customHeight="1">
      <x:c r="A22" s="42" t="str">
        <x:v>unanswerable</x:v>
      </x:c>
      <x:c r="B22" s="42" t="n">
        <x:f>COUNTIF('Revisión'!$B$2:$B$41,A22)</x:f>
        <x:v>7</x:v>
      </x:c>
      <x:c r="C22" s="42" t="n">
        <x:f>COUNTIFS('Revisión'!$B$2:$B$41,A22,'Revisión'!$W$2:$W$41,"Sí")</x:f>
        <x:v>7</x:v>
      </x:c>
      <x:c r="D22" s="42" t="n">
        <x:f>COUNTIFS('Revisión'!$B$2:$B$41,A22,'Revisión'!$S$2:$S$41,"Aprobada")</x:f>
        <x:v>7</x:v>
      </x:c>
      <x:c r="E22" s="42" t="n">
        <x:f>COUNTIFS('Revisión'!$B$2:$B$41,A22,'Revisión'!$N$2:$N$41,"Correcta")</x:f>
        <x:v>0</x:v>
      </x:c>
      <x:c r="F22" s="42" t="n">
        <x:f>COUNTIFS('Revisión'!$B$2:$B$41,A22,'Revisión'!$N$2:$N$41,"Parcial")</x:f>
        <x:v>0</x:v>
      </x:c>
      <x:c r="G22" s="42" t="n">
        <x:f>COUNTIFS('Revisión'!$B$2:$B$41,A22,'Revisión'!$N$2:$N$41,"Incorrecta")</x:f>
        <x:v>0</x:v>
      </x:c>
      <x:c r="H22" s="42"/>
    </x:row>
    <x:row r="23" ht="24" customHeight="1">
      <x:c r="A23" s="42"/>
      <x:c r="B23" s="42"/>
      <x:c r="C23" s="42"/>
      <x:c r="D23" s="42"/>
      <x:c r="E23" s="42"/>
      <x:c r="F23" s="42"/>
      <x:c r="G23" s="42"/>
      <x:c r="H23" s="42"/>
    </x:row>
    <x:row r="24" ht="24" customHeight="1">
      <x:c r="A24" s="44" t="str">
        <x:v>Línea base automática (antes de revisión humana)</x:v>
      </x:c>
      <x:c r="B24" s="44" t="str">
        <x:v>Línea base automática (antes de revisión humana)</x:v>
      </x:c>
      <x:c r="C24" s="44" t="str">
        <x:v>Línea base automática (antes de revisión humana)</x:v>
      </x:c>
      <x:c r="D24" s="44" t="str">
        <x:v>Línea base automática (antes de revisión humana)</x:v>
      </x:c>
      <x:c r="E24" s="44" t="str">
        <x:v>Línea base automática (antes de revisión humana)</x:v>
      </x:c>
      <x:c r="F24" s="44" t="str">
        <x:v>Línea base automática (antes de revisión humana)</x:v>
      </x:c>
      <x:c r="G24" s="44" t="str">
        <x:v>Línea base automática (antes de revisión humana)</x:v>
      </x:c>
      <x:c r="H24" s="44" t="str">
        <x:v>Línea base automática (antes de revisión humana)</x:v>
      </x:c>
    </x:row>
    <x:row r="25" ht="24" customHeight="1">
      <x:c r="A25" s="47" t="str">
        <x:v>Métrica</x:v>
      </x:c>
      <x:c r="B25" s="47" t="str">
        <x:v>Resultado</x:v>
      </x:c>
      <x:c r="C25" s="47" t="str">
        <x:v>Interpretación</x:v>
      </x:c>
      <x:c r="D25" s="42"/>
      <x:c r="E25" s="48" t="str">
        <x:v>Fuente de la línea base:</x:v>
      </x:c>
      <x:c r="F25" s="48"/>
      <x:c r="G25" s="48"/>
      <x:c r="H25" s="48"/>
    </x:row>
    <x:row r="26" ht="24" customHeight="1">
      <x:c r="A26" s="42" t="str">
        <x:v>Salidas aceptadas</x:v>
      </x:c>
      <x:c r="B26" s="43" t="n">
        <x:v>0.925</x:v>
      </x:c>
      <x:c r="C26" s="42" t="str">
        <x:v>37 de 40</x:v>
      </x:c>
      <x:c r="D26" s="42"/>
      <x:c r="E26" s="48" t="str">
        <x:v>results/rag-evaluation/2026-07-28/</x:v>
      </x:c>
      <x:c r="F26" s="48"/>
      <x:c r="G26" s="48"/>
      <x:c r="H26" s="48"/>
    </x:row>
    <x:row r="27" ht="24" customHeight="1">
      <x:c r="A27" s="42" t="str">
        <x:v>Decisión answered/not_found</x:v>
      </x:c>
      <x:c r="B27" s="43" t="n">
        <x:v>0.875</x:v>
      </x:c>
      <x:c r="C27" s="42" t="str">
        <x:v>35 de 40</x:v>
      </x:c>
      <x:c r="D27" s="42"/>
      <x:c r="E27" s="48" t="str">
        <x:v>qwen3.5-9b-normalized-citations/summary.json</x:v>
      </x:c>
      <x:c r="F27" s="48"/>
      <x:c r="G27" s="48"/>
      <x:c r="H27" s="48"/>
    </x:row>
    <x:row r="28" ht="24" customHeight="1">
      <x:c r="A28" s="42" t="str">
        <x:v>Abstención</x:v>
      </x:c>
      <x:c r="B28" s="43" t="n">
        <x:v>1</x:v>
      </x:c>
      <x:c r="C28" s="42" t="str">
        <x:v>7 de 7</x:v>
      </x:c>
      <x:c r="D28" s="42"/>
      <x:c r="E28" s="48" t="str">
        <x:v>Run ID: rag-eval-20260728T135240-817764</x:v>
      </x:c>
      <x:c r="F28" s="48"/>
      <x:c r="G28" s="48"/>
      <x:c r="H28" s="48"/>
    </x:row>
    <x:row r="29" ht="24" customHeight="1">
      <x:c r="A29" s="42" t="str">
        <x:v>Retrieval hit</x:v>
      </x:c>
      <x:c r="B29" s="43" t="n">
        <x:v>0.9393939393939394</x:v>
      </x:c>
      <x:c r="C29" s="42" t="str">
        <x:v>31 de 33 respondibles</x:v>
      </x:c>
      <x:c r="D29" s="42"/>
      <x:c r="E29" s="48" t="str">
        <x:v>Esquema: 1.1.0</x:v>
      </x:c>
      <x:c r="F29" s="48"/>
      <x:c r="G29" s="48"/>
      <x:c r="H29" s="48"/>
    </x:row>
    <x:row r="30" ht="24" customHeight="1">
      <x:c r="A30" s="42" t="str">
        <x:v>Citation hit</x:v>
      </x:c>
      <x:c r="B30" s="43" t="n">
        <x:v>0.8181818181818182</x:v>
      </x:c>
      <x:c r="C30" s="42" t="str">
        <x:v>27 de 33 respondibles</x:v>
      </x:c>
      <x:c r="D30" s="42"/>
      <x:c r="E30" s="48" t="str">
        <x:v>Estas cifras no equivalen a exactitud factual.</x:v>
      </x:c>
      <x:c r="F30" s="48"/>
      <x:c r="G30" s="48"/>
      <x:c r="H30" s="48"/>
    </x:row>
    <x:row r="31" ht="24" customHeight="1">
      <x:c r="A31" s="49" t="str">
        <x:v>Tiempo total medio (s)</x:v>
      </x:c>
      <x:c r="B31" s="50" t="n">
        <x:v>5.526290104999953</x:v>
      </x:c>
      <x:c r="C31" s="49" t="str">
        <x:v>Modelos calientes en lote</x:v>
      </x:c>
      <x:c r="D31" s="49"/>
      <x:c r="E31" s="51" t="str">
        <x:v>La evaluación manual de este libro completa esa medición.</x:v>
      </x:c>
      <x:c r="F31" s="51"/>
      <x:c r="G31" s="51"/>
      <x:c r="H31" s="51"/>
    </x:row>
  </x:sheetData>
  <x:mergeCells>
    <x:mergeCell ref="A1:H2"/>
    <x:mergeCell ref="A3:H3"/>
    <x:mergeCell ref="A5:B5"/>
    <x:mergeCell ref="D5:E5"/>
    <x:mergeCell ref="G5:H5"/>
    <x:mergeCell ref="A11:H11"/>
    <x:mergeCell ref="D12:H12"/>
    <x:mergeCell ref="D13:H13"/>
    <x:mergeCell ref="D14:H14"/>
    <x:mergeCell ref="D15:H15"/>
    <x:mergeCell ref="D16:H16"/>
    <x:mergeCell ref="A18:G18"/>
    <x:mergeCell ref="A24:H24"/>
    <x:mergeCell ref="E25:H25"/>
    <x:mergeCell ref="E26:H26"/>
    <x:mergeCell ref="E27:H27"/>
    <x:mergeCell ref="E28:H28"/>
    <x:mergeCell ref="E29:H29"/>
    <x:mergeCell ref="E30:H30"/>
    <x:mergeCell ref="E31:H31"/>
  </x:mergeCells>
  <x:pageMargins left="0.7" right="0.7" top="0.75" bottom="0.75" header="0.3" footer="0.3"/>
</x:worksheet>
</file>

<file path=xl/worksheets/sheet3.xml><?xml version="1.0" encoding="utf-8"?>
<x:worksheet xmlns:x="http://schemas.openxmlformats.org/spreadsheetml/2006/main">
  <x:sheetViews>
    <x:sheetView showGridLines="0" workbookViewId="0"/>
  </x:sheetViews>
  <x:sheetFormatPr defaultRowHeight="15"/>
  <x:cols>
    <x:col min="1" max="1" width="13" hidden="0" customWidth="1"/>
    <x:col min="2" max="2" width="16" hidden="0" customWidth="1"/>
    <x:col min="3" max="3" width="24" hidden="0" customWidth="1"/>
    <x:col min="4" max="4" width="52" hidden="0" customWidth="1"/>
    <x:col min="5" max="5" width="52" hidden="0" customWidth="1"/>
    <x:col min="6" max="6" width="14" hidden="0" customWidth="1"/>
    <x:col min="7" max="7" width="64" hidden="0" customWidth="1"/>
    <x:col min="8" max="8" width="15" hidden="0" customWidth="1"/>
    <x:col min="9" max="9" width="34" hidden="0" customWidth="1"/>
    <x:col min="10" max="10" width="34" hidden="0" customWidth="1"/>
    <x:col min="11" max="11" width="14" hidden="0" customWidth="1"/>
    <x:col min="12" max="12" width="14" hidden="0" customWidth="1"/>
    <x:col min="13" max="13" width="20" hidden="0" customWidth="1"/>
    <x:col min="14" max="14" width="19" hidden="0" customWidth="1"/>
    <x:col min="15" max="15" width="17" hidden="0" customWidth="1"/>
    <x:col min="16" max="16" width="21" hidden="0" customWidth="1"/>
    <x:col min="17" max="17" width="16" hidden="0" customWidth="1"/>
    <x:col min="18" max="18" width="18" hidden="0" customWidth="1"/>
    <x:col min="19" max="19" width="20" hidden="0" customWidth="1"/>
    <x:col min="20" max="20" width="42" hidden="0" customWidth="1"/>
    <x:col min="21" max="21" width="18" hidden="0" customWidth="1"/>
    <x:col min="22" max="22" width="16" hidden="0" customWidth="1"/>
    <x:col min="23" max="23" width="18" hidden="0" customWidth="1"/>
  </x:cols>
  <x:sheetData>
    <x:row r="1">
      <x:c r="A1" s="6" t="str">
        <x:v>Question ID</x:v>
      </x:c>
      <x:c r="B1" s="6" t="str">
        <x:v>Tipo</x:v>
      </x:c>
      <x:c r="C1" s="6" t="str">
        <x:v>Categoría</x:v>
      </x:c>
      <x:c r="D1" s="6" t="str">
        <x:v>Pregunta</x:v>
      </x:c>
      <x:c r="E1" s="6" t="str">
        <x:v>Respuesta esperada</x:v>
      </x:c>
      <x:c r="F1" s="6" t="str">
        <x:v>Estado sistema</x:v>
      </x:c>
      <x:c r="G1" s="6" t="str">
        <x:v>Respuesta generada / bruta</x:v>
      </x:c>
      <x:c r="H1" s="6" t="str">
        <x:v>Citas</x:v>
      </x:c>
      <x:c r="I1" s="6" t="str">
        <x:v>Record IDs citados</x:v>
      </x:c>
      <x:c r="J1" s="6" t="str">
        <x:v>Record IDs gold</x:v>
      </x:c>
      <x:c r="K1" s="6" t="str">
        <x:v>Retrieval hit</x:v>
      </x:c>
      <x:c r="L1" s="6" t="str">
        <x:v>Citation hit</x:v>
      </x:c>
      <x:c r="M1" s="6" t="str">
        <x:v>Prioridad</x:v>
      </x:c>
      <x:c r="N1" s="6" t="str">
        <x:v>Corrección factual</x:v>
      </x:c>
      <x:c r="O1" s="6" t="str">
        <x:v>Cobertura</x:v>
      </x:c>
      <x:c r="P1" s="6" t="str">
        <x:v>Fidelidad a fuentes</x:v>
      </x:c>
      <x:c r="Q1" s="6" t="str">
        <x:v>Claridad</x:v>
      </x:c>
      <x:c r="R1" s="6" t="str">
        <x:v>Gold adecuado</x:v>
      </x:c>
      <x:c r="S1" s="6" t="str">
        <x:v>Conclusión manual</x:v>
      </x:c>
      <x:c r="T1" s="6" t="str">
        <x:v>Notas</x:v>
      </x:c>
      <x:c r="U1" s="6" t="str">
        <x:v>Revisor</x:v>
      </x:c>
      <x:c r="V1" s="6" t="str">
        <x:v>Fecha revisión</x:v>
      </x:c>
      <x:c r="W1" s="6" t="str">
        <x:v>Revisión completa</x:v>
      </x:c>
    </x:row>
    <x:row r="2" ht="160" customHeight="1">
      <x:c r="A2" s="16" t="str">
        <x:f>'Datos base'!B2</x:f>
        <x:v>q001</x:v>
      </x:c>
      <x:c r="B2" s="16" t="str">
        <x:f>'Datos base'!C2</x:f>
        <x:v>direct</x:v>
      </x:c>
      <x:c r="C2" s="16" t="str">
        <x:f>'Datos base'!D2</x:f>
        <x:v>enseñanza_y_evaluación</x:v>
      </x:c>
      <x:c r="D2" s="21" t="str">
        <x:f>'Datos base'!F2</x:f>
        <x:v>¿En qué plazo y por cuáles medios puede una persona estudiante solicitar la reposición de una evaluación que no realizó por una ausencia justificada?</x:v>
      </x:c>
      <x:c r="E2" s="21" t="str">
        <x:f>'Datos base'!G2</x:f>
        <x:v>Debe solicitarla en los tres días hábiles siguientes a la aplicación de la evaluación. Puede hacerlo personalmente, mediante un correo remitido a la cuenta oficial de la Institución o por medio de una persona autorizada.</x:v>
      </x:c>
      <x:c r="F2" s="21" t="str">
        <x:f>'Datos base'!H2</x:f>
        <x:v>answered</x:v>
      </x:c>
      <x:c r="G2" s="21" t="str">
        <x:f>IF('Datos base'!H2="error",'Datos base'!R2,'Datos base'!I2)</x:f>
        <x:v>La solicitud debe presentarse en el plazo de tres días hábiles siguientes a la aplicación de la evaluación, personalmente, mediante correo electrónico remitido a la cuenta oficial de la Institución o por medio de una persona autorizada [F2]. En casos donde la estudiante se encuentre imposibilitada por causas de salud para realizar el trámite en el plazo establecido (demostrado con constancia), podrá hacerlo extemporáneamente ante su docente o la dirección/coordinación respectiva en los primeros tres días hábiles posteriores a su recuperación [F2].</x:v>
      </x:c>
      <x:c r="H2" s="21" t="str">
        <x:f>'Datos base'!J2</x:f>
        <x:v>F2</x:v>
      </x:c>
      <x:c r="I2" s="21" t="str">
        <x:f>'Datos base'!K2</x:f>
        <x:v>tec-rrea-2025::article-66</x:v>
      </x:c>
      <x:c r="J2" s="21" t="str">
        <x:f>'Datos base'!L2</x:f>
        <x:v>tec-rrea-2025::article-66</x:v>
      </x:c>
      <x:c r="K2" s="16" t="str">
        <x:f>'Datos base'!M2</x:f>
        <x:v>Sí</x:v>
      </x:c>
      <x:c r="L2" s="16" t="str">
        <x:f>'Datos base'!N2</x:f>
        <x:v>Sí</x:v>
      </x:c>
      <x:c r="M2" s="21" t="str">
        <x:f>IF('Datos base'!P2="Sí","Error estructural",IF('Datos base'!O2="No","Decisión incorrecta",IF(AND('Datos base'!E2="Sí",'Datos base'!N2="No"),"Cita no gold","Revisión normal")))</x:f>
        <x:v>Revisión normal</x:v>
      </x:c>
      <x:c r="N2" s="22" t="str">
        <x:v>Correcta</x:v>
      </x:c>
      <x:c r="O2" s="22" t="str">
        <x:v>Completa</x:v>
      </x:c>
      <x:c r="P2" s="22" t="str">
        <x:v>Total</x:v>
      </x:c>
      <x:c r="Q2" s="22" t="str">
        <x:v>Clara</x:v>
      </x:c>
      <x:c r="R2" s="22" t="str">
        <x:v>Sí</x:v>
      </x:c>
      <x:c r="S2" s="22" t="str">
        <x:v>Aprobada</x:v>
      </x:c>
      <x:c r="T2" s="22" t="str">
        <x:v>Responde correctamente el plazo y los tres medios solicitados. Añade una excepción médica pertinente y respaldada por F2, correspondiente al mismo artículo 66 definido como evidencia gold.</x:v>
      </x:c>
      <x:c r="U2" s="22" t="str">
        <x:v>Nicole Tatiana Parra Valverde</x:v>
      </x:c>
      <x:c r="V2" s="23" t="n">
        <x:v>46231</x:v>
      </x:c>
      <x:c r="W2" s="20" t="str">
        <x:f>IF(AND(COUNTA(N2:S2)=6,U2&lt;&gt;"",V2&lt;&gt;""),"Sí","No")</x:f>
        <x:v>Sí</x:v>
      </x:c>
    </x:row>
    <x:row r="3" ht="160" customHeight="1">
      <x:c r="A3" s="16" t="str">
        <x:f>'Datos base'!B3</x:f>
        <x:v>q002</x:v>
      </x:c>
      <x:c r="B3" s="16" t="str">
        <x:f>'Datos base'!C3</x:f>
        <x:v>direct</x:v>
      </x:c>
      <x:c r="C3" s="16" t="str">
        <x:f>'Datos base'!D3</x:f>
        <x:v>becas_y_apoyo</x:v>
      </x:c>
      <x:c r="D3" s="21" t="str">
        <x:f>'Datos base'!F3</x:f>
        <x:v>¿En qué consiste la beca de excelencia académica del TEC y a cuántos estudiantes de primer ingreso se otorga?</x:v>
      </x:c>
      <x:c r="E3" s="21" t="str">
        <x:f>'Datos base'!G3</x:f>
        <x:v>Consiste en la exoneración del pago de los derechos de estudio durante toda la carrera y se otorga a los cien estudiantes de primer ingreso con mayor puntaje según los criterios establecidos.</x:v>
      </x:c>
      <x:c r="F3" s="21" t="str">
        <x:f>'Datos base'!H3</x:f>
        <x:v>answered</x:v>
      </x:c>
      <x:c r="G3" s="21" t="str">
        <x:f>IF('Datos base'!H3="error",'Datos base'!R3,'Datos base'!I3)</x:f>
        <x:v>La Beca de Excelencia Académica consiste en la exoneración del pago de los derechos de estudio durante toda la carrera, ofreciéndose únicamente a los(as) estudiantes de primer ingreso que se matriculen en el primer período lectivo de cada año. Se otorga a los cien estudiantes con mayor puntaje resultante de sumar criterios como promedios escolares (IV Ciclo ≥ 90), puntajes de admisión, participación en concursos nacionales científicos y tecnológicos (primer lugar o semifinalistas olimpiadas), egreso de colegios científicos (promedio ≥ 90) y tipo de colegio de procedencia [F2]. Para mantenerla, el estudiante debe aprobar como mínimo 12 créditos en primer año y 15 créditos por semestre posteriormente, salvo excepciones específicas [F1]}</x:v>
      </x:c>
      <x:c r="H3" s="21" t="str">
        <x:f>'Datos base'!J3</x:f>
        <x:v>F1, F2</x:v>
      </x:c>
      <x:c r="I3" s="21" t="str">
        <x:f>'Datos base'!K3</x:f>
        <x:v>tec-becas-prestamos::article-35</x:v>
      </x:c>
      <x:c r="J3" s="21" t="str">
        <x:f>'Datos base'!L3</x:f>
        <x:v>tec-becas-prestamos::article-35</x:v>
      </x:c>
      <x:c r="K3" s="16" t="str">
        <x:f>'Datos base'!M3</x:f>
        <x:v>Sí</x:v>
      </x:c>
      <x:c r="L3" s="16" t="str">
        <x:f>'Datos base'!N3</x:f>
        <x:v>Sí</x:v>
      </x:c>
      <x:c r="M3" s="21" t="str">
        <x:f>IF('Datos base'!P3="Sí","Error estructural",IF('Datos base'!O3="No","Decisión incorrecta",IF(AND('Datos base'!E3="Sí",'Datos base'!N3="No"),"Cita no gold","Revisión normal")))</x:f>
        <x:v>Revisión normal</x:v>
      </x:c>
      <x:c r="N3" s="22" t="str">
        <x:v>Correcta</x:v>
      </x:c>
      <x:c r="O3" s="22" t="str">
        <x:v>Completa</x:v>
      </x:c>
      <x:c r="P3" s="22" t="str">
        <x:v>Total</x:v>
      </x:c>
      <x:c r="Q3" s="22" t="str">
        <x:v>Mejorable</x:v>
      </x:c>
      <x:c r="R3" s="22" t="str">
        <x:v>Sí</x:v>
      </x:c>
      <x:c r="S3" s="22" t="str">
        <x:v>Aprobada</x:v>
      </x:c>
      <x:c r="T3" s="22" t="str">
        <x:v>Responde correctamente el beneficio y la cantidad de estudiantes. Los criterios de selección y requisitos de mantenimiento añadidos están respaldados, pero hacen la respuesta innecesariamente extensa. Presenta además una llave de cierre sobrante al final.</x:v>
      </x:c>
      <x:c r="U3" s="22" t="str">
        <x:v>Nicole Tatiana Parra Valverde</x:v>
      </x:c>
      <x:c r="V3" s="23" t="n">
        <x:v>46231</x:v>
      </x:c>
      <x:c r="W3" s="20" t="str">
        <x:f>IF(AND(COUNTA(N3:S3)=6,U3&lt;&gt;"",V3&lt;&gt;""),"Sí","No")</x:f>
        <x:v>Sí</x:v>
      </x:c>
    </x:row>
    <x:row r="4" ht="160" customHeight="1">
      <x:c r="A4" s="16" t="str">
        <x:f>'Datos base'!B4</x:f>
        <x:v>q003</x:v>
      </x:c>
      <x:c r="B4" s="16" t="str">
        <x:f>'Datos base'!C4</x:f>
        <x:v>direct</x:v>
      </x:c>
      <x:c r="C4" s="16" t="str">
        <x:f>'Datos base'!D4</x:f>
        <x:v>enseñanza_y_evaluación</x:v>
      </x:c>
      <x:c r="D4" s="21" t="str">
        <x:f>'Datos base'!F4</x:f>
        <x:v>¿Se puede equiparar un Trabajo Final de Graduación en el TEC?</x:v>
      </x:c>
      <x:c r="E4" s="21" t="str">
        <x:f>'Datos base'!G4</x:f>
        <x:v>No. Los Trabajos Finales de Graduación no son susceptibles de equiparación.</x:v>
      </x:c>
      <x:c r="F4" s="21" t="str">
        <x:f>'Datos base'!H4</x:f>
        <x:v>answered</x:v>
      </x:c>
      <x:c r="G4" s="21" t="str">
        <x:f>IF('Datos base'!H4="error",'Datos base'!R4,'Datos base'!I4)</x:f>
        <x:v>Los Trabajos Finales de Graduación no serán susceptibles de equiparación [F1].</x:v>
      </x:c>
      <x:c r="H4" s="21" t="str">
        <x:f>'Datos base'!J4</x:f>
        <x:v>F1</x:v>
      </x:c>
      <x:c r="I4" s="21" t="str">
        <x:f>'Datos base'!K4</x:f>
        <x:v>tec-equiparacion-asignaturas::article-29</x:v>
      </x:c>
      <x:c r="J4" s="21" t="str">
        <x:f>'Datos base'!L4</x:f>
        <x:v>tec-equiparacion-asignaturas::article-29</x:v>
      </x:c>
      <x:c r="K4" s="16" t="str">
        <x:f>'Datos base'!M4</x:f>
        <x:v>Sí</x:v>
      </x:c>
      <x:c r="L4" s="16" t="str">
        <x:f>'Datos base'!N4</x:f>
        <x:v>Sí</x:v>
      </x:c>
      <x:c r="M4" s="21" t="str">
        <x:f>IF('Datos base'!P4="Sí","Error estructural",IF('Datos base'!O4="No","Decisión incorrecta",IF(AND('Datos base'!E4="Sí",'Datos base'!N4="No"),"Cita no gold","Revisión normal")))</x:f>
        <x:v>Revisión normal</x:v>
      </x:c>
      <x:c r="N4" s="22" t="str">
        <x:v>Correcta</x:v>
      </x:c>
      <x:c r="O4" s="22" t="str">
        <x:v>Completa</x:v>
      </x:c>
      <x:c r="P4" s="22" t="str">
        <x:v>Total</x:v>
      </x:c>
      <x:c r="Q4" s="22" t="str">
        <x:v>Clara</x:v>
      </x:c>
      <x:c r="R4" s="22" t="str">
        <x:v>Sí</x:v>
      </x:c>
      <x:c r="S4" s="22" t="str">
        <x:v>Aprobada</x:v>
      </x:c>
      <x:c r="T4" s="22" t="str">
        <x:v>Respuesta directa y completamente respaldada por F1, correspondiente al artículo 29 definido como evidencia gold.</x:v>
      </x:c>
      <x:c r="U4" s="22" t="str">
        <x:v>Nicole Tatiana Parra Valverde</x:v>
      </x:c>
      <x:c r="V4" s="23" t="n">
        <x:v>46231</x:v>
      </x:c>
      <x:c r="W4" s="20" t="str">
        <x:f>IF(AND(COUNTA(N4:S4)=6,U4&lt;&gt;"",V4&lt;&gt;""),"Sí","No")</x:f>
        <x:v>Sí</x:v>
      </x:c>
    </x:row>
    <x:row r="5" ht="160" customHeight="1">
      <x:c r="A5" s="16" t="str">
        <x:f>'Datos base'!B5</x:f>
        <x:v>q004</x:v>
      </x:c>
      <x:c r="B5" s="16" t="str">
        <x:f>'Datos base'!C5</x:f>
        <x:v>direct</x:v>
      </x:c>
      <x:c r="C5" s="16" t="str">
        <x:f>'Datos base'!D5</x:f>
        <x:v>becas_y_apoyo</x:v>
      </x:c>
      <x:c r="D5" s="21" t="str">
        <x:f>'Datos base'!F5</x:f>
        <x:v>¿Cuál es el objetivo general del Programa de Residencias Estudiantiles del TEC?</x:v>
      </x:c>
      <x:c r="E5" s="21" t="str">
        <x:f>'Datos base'!G5</x:f>
        <x:v>Favorecer la atracción y permanencia de estudiantes de condición socioeconómica limitada que proceden de zonas alejadas o de difícil acceso, para que alcancen una meta profesional con formación integral, equidad e igualdad de oportunidades.</x:v>
      </x:c>
      <x:c r="F5" s="21" t="str">
        <x:f>'Datos base'!H5</x:f>
        <x:v>answered</x:v>
      </x:c>
      <x:c r="G5" s="21" t="str">
        <x:f>IF('Datos base'!H5="error",'Datos base'!R5,'Datos base'!I5)</x:f>
        <x:v>El objetivo general del Programa de Residencias Estudiantiles es favorecer la atracción y la permanencia de los(as) estudiantes de condición socioeconómica limitada, que proceden de una zona de difícil acceso o alejada del lugar donde se imparte la carrera, con el fin de contribuir a que alcancen una meta profesional en condiciones que propicien su formación integral y garanticen la equidad e igualdad de oportunidades para todos (as) los (as) estudiantes [F1].</x:v>
      </x:c>
      <x:c r="H5" s="21" t="str">
        <x:f>'Datos base'!J5</x:f>
        <x:v>F1</x:v>
      </x:c>
      <x:c r="I5" s="21" t="str">
        <x:f>'Datos base'!K5</x:f>
        <x:v>tec-residencias-estudiantiles::article-1</x:v>
      </x:c>
      <x:c r="J5" s="21" t="str">
        <x:f>'Datos base'!L5</x:f>
        <x:v>tec-residencias-estudiantiles::article-1</x:v>
      </x:c>
      <x:c r="K5" s="16" t="str">
        <x:f>'Datos base'!M5</x:f>
        <x:v>Sí</x:v>
      </x:c>
      <x:c r="L5" s="16" t="str">
        <x:f>'Datos base'!N5</x:f>
        <x:v>Sí</x:v>
      </x:c>
      <x:c r="M5" s="21" t="str">
        <x:f>IF('Datos base'!P5="Sí","Error estructural",IF('Datos base'!O5="No","Decisión incorrecta",IF(AND('Datos base'!E5="Sí",'Datos base'!N5="No"),"Cita no gold","Revisión normal")))</x:f>
        <x:v>Revisión normal</x:v>
      </x:c>
      <x:c r="N5" s="22" t="str">
        <x:v>Correcta</x:v>
      </x:c>
      <x:c r="O5" s="22" t="str">
        <x:v>Completa</x:v>
      </x:c>
      <x:c r="P5" s="22" t="str">
        <x:v>Total</x:v>
      </x:c>
      <x:c r="Q5" s="22" t="str">
        <x:v>Clara</x:v>
      </x:c>
      <x:c r="R5" s="22" t="str">
        <x:v>Sí</x:v>
      </x:c>
      <x:c r="S5" s="22" t="str">
        <x:v>Aprobada</x:v>
      </x:c>
      <x:c r="T5" s="22" t="str">
        <x:v>Reproduce correctamente el objetivo general del Programa de Residencias Estudiantiles y está totalmente respaldada por F1.</x:v>
      </x:c>
      <x:c r="U5" s="22" t="str">
        <x:v>Nicole Tatiana Parra Valverde</x:v>
      </x:c>
      <x:c r="V5" s="23" t="n">
        <x:v>46231</x:v>
      </x:c>
      <x:c r="W5" s="20" t="str">
        <x:f>IF(AND(COUNTA(N5:S5)=6,U5&lt;&gt;"",V5&lt;&gt;""),"Sí","No")</x:f>
        <x:v>Sí</x:v>
      </x:c>
    </x:row>
    <x:row r="6" ht="160" customHeight="1">
      <x:c r="A6" s="16" t="str">
        <x:f>'Datos base'!B6</x:f>
        <x:v>q005</x:v>
      </x:c>
      <x:c r="B6" s="16" t="str">
        <x:f>'Datos base'!C6</x:f>
        <x:v>direct</x:v>
      </x:c>
      <x:c r="C6" s="16" t="str">
        <x:f>'Datos base'!D6</x:f>
        <x:v>derechos_y_convivencia</x:v>
      </x:c>
      <x:c r="D6" s="21" t="str">
        <x:f>'Datos base'!F6</x:f>
        <x:v>¿Quiénes pueden dirigirse a la Defensoría Estudiantil cuando se vulneran derechos o intereses de estudiantes?</x:v>
      </x:c>
      <x:c r="E6" s="21" t="str">
        <x:f>'Datos base'!G6</x:f>
        <x:v>Puede dirigirse todo estudiante regular del ITCR o de un ente adscrito a la Federación de Estudiantes, sus tutores o representantes judiciales o extrajudiciales, y cualquier funcionario del ITCR cuando exista una violación de derechos o intereses estudiantiles.</x:v>
      </x:c>
      <x:c r="F6" s="21" t="str">
        <x:f>'Datos base'!H6</x:f>
        <x:v>answered</x:v>
      </x:c>
      <x:c r="G6" s="21" t="str">
        <x:f>IF('Datos base'!H6="error",'Datos base'!R6,'Datos base'!I6)</x:f>
        <x:v>Podrán dirigir sus solicitudes todo estudiante regular del ITCR, tutores, representantes judiciales o extrajudiciales, así como cualquier funcionario del ITCR cuando exista una violación a los derechos e intereses de las y los estudiantes [F1]. Además, en procesos disciplinarios, la parte denunciante o demandada (estudiante) puede ser asistida por un abogado profesional colegiado con carné vigente; si el estudiante es menor de edad, debe acompañarse de su representante legal. También pueden acudir a solicitar apoyo legal ante la Defensoría Estudiantil [F2].</x:v>
      </x:c>
      <x:c r="H6" s="21" t="str">
        <x:f>'Datos base'!J6</x:f>
        <x:v>F1, F2</x:v>
      </x:c>
      <x:c r="I6" s="21" t="str">
        <x:f>'Datos base'!K6</x:f>
        <x:v>tec-defensoria-estudiantil::article-8
tec-convivencia-disciplina::article-33</x:v>
      </x:c>
      <x:c r="J6" s="21" t="str">
        <x:f>'Datos base'!L6</x:f>
        <x:v>tec-defensoria-estudiantil::article-8</x:v>
      </x:c>
      <x:c r="K6" s="16" t="str">
        <x:f>'Datos base'!M6</x:f>
        <x:v>Sí</x:v>
      </x:c>
      <x:c r="L6" s="16" t="str">
        <x:f>'Datos base'!N6</x:f>
        <x:v>Sí</x:v>
      </x:c>
      <x:c r="M6" s="21" t="str">
        <x:f>IF('Datos base'!P6="Sí","Error estructural",IF('Datos base'!O6="No","Decisión incorrecta",IF(AND('Datos base'!E6="Sí",'Datos base'!N6="No"),"Cita no gold","Revisión normal")))</x:f>
        <x:v>Revisión normal</x:v>
      </x:c>
      <x:c r="N6" s="22" t="str">
        <x:v>Correcta</x:v>
      </x:c>
      <x:c r="O6" s="22" t="str">
        <x:v>Parcial</x:v>
      </x:c>
      <x:c r="P6" s="22" t="str">
        <x:v>Total</x:v>
      </x:c>
      <x:c r="Q6" s="22" t="str">
        <x:v>Mejorable</x:v>
      </x:c>
      <x:c r="R6" s="22" t="str">
        <x:v>Sí</x:v>
      </x:c>
      <x:c r="S6" s="22" t="str">
        <x:v>Revisar</x:v>
      </x:c>
      <x:c r="T6" s="22" t="str">
        <x:v>Identifica correctamente estudiantes del ITCR, tutores, representantes y funcionarios, pero omite estudiantes de entes adscritos a la Federación de Estudiantes. La información adicional de F2 está respaldada, aunque desvía la respuesta.</x:v>
      </x:c>
      <x:c r="U6" s="22" t="str">
        <x:v>Nicole Tatiana Parra Valverde</x:v>
      </x:c>
      <x:c r="V6" s="23" t="n">
        <x:v>46231</x:v>
      </x:c>
      <x:c r="W6" s="20" t="str">
        <x:f>IF(AND(COUNTA(N6:S6)=6,U6&lt;&gt;"",V6&lt;&gt;""),"Sí","No")</x:f>
        <x:v>Sí</x:v>
      </x:c>
    </x:row>
    <x:row r="7" ht="160" customHeight="1">
      <x:c r="A7" s="16" t="str">
        <x:f>'Datos base'!B7</x:f>
        <x:v>q006</x:v>
      </x:c>
      <x:c r="B7" s="16" t="str">
        <x:f>'Datos base'!C7</x:f>
        <x:v>direct</x:v>
      </x:c>
      <x:c r="C7" s="16" t="str">
        <x:f>'Datos base'!D7</x:f>
        <x:v>becas_y_apoyo</x:v>
      </x:c>
      <x:c r="D7" s="21" t="str">
        <x:f>'Datos base'!F7</x:f>
        <x:v>¿Cuántas horas semanales debe comprometer una persona de posgrado que solicita por primera vez una beca de asistencia para investigación o extensión?</x:v>
      </x:c>
      <x:c r="E7" s="21" t="str">
        <x:f>'Datos base'!G7</x:f>
        <x:v>Debe comprometerse por escrito a dedicar al menos veinte horas semanales si cursa una maestría o cuarenta horas semanales si cursa un doctorado.</x:v>
      </x:c>
      <x:c r="F7" s="21" t="str">
        <x:f>'Datos base'!H7</x:f>
        <x:v>answered</x:v>
      </x:c>
      <x:c r="G7" s="21" t="str">
        <x:f>IF('Datos base'!H7="error",'Datos base'!R7,'Datos base'!I7)</x:f>
        <x:v>Una persona estudiante de posgrado que desee optar por primera vez a la Beca Estudiante Asistente para Proyectos de Investigación y Extensión debe comprometerse, mediante un escrito, a dedicarse al proyecto de investigación o extensión en que participará: 
*   Al menos veinte horas semanales, si cursa un programa de maestría [F1].
*   Cuarenta horas semanales, si cursa un programa de doctorado [F1].</x:v>
      </x:c>
      <x:c r="H7" s="21" t="str">
        <x:f>'Datos base'!J7</x:f>
        <x:v>F1</x:v>
      </x:c>
      <x:c r="I7" s="21" t="str">
        <x:f>'Datos base'!K7</x:f>
        <x:v>tec-becas-posgrado::article-14</x:v>
      </x:c>
      <x:c r="J7" s="21" t="str">
        <x:f>'Datos base'!L7</x:f>
        <x:v>tec-becas-posgrado::article-14</x:v>
      </x:c>
      <x:c r="K7" s="16" t="str">
        <x:f>'Datos base'!M7</x:f>
        <x:v>Sí</x:v>
      </x:c>
      <x:c r="L7" s="16" t="str">
        <x:f>'Datos base'!N7</x:f>
        <x:v>Sí</x:v>
      </x:c>
      <x:c r="M7" s="21" t="str">
        <x:f>IF('Datos base'!P7="Sí","Error estructural",IF('Datos base'!O7="No","Decisión incorrecta",IF(AND('Datos base'!E7="Sí",'Datos base'!N7="No"),"Cita no gold","Revisión normal")))</x:f>
        <x:v>Revisión normal</x:v>
      </x:c>
      <x:c r="N7" s="22" t="str">
        <x:v>Correcta</x:v>
      </x:c>
      <x:c r="O7" s="22" t="str">
        <x:v>Completa</x:v>
      </x:c>
      <x:c r="P7" s="22" t="str">
        <x:v>Total</x:v>
      </x:c>
      <x:c r="Q7" s="22" t="str">
        <x:v>Clara</x:v>
      </x:c>
      <x:c r="R7" s="22" t="str">
        <x:v>Sí</x:v>
      </x:c>
      <x:c r="S7" s="22" t="str">
        <x:v>Aprobada</x:v>
      </x:c>
      <x:c r="T7" s="22" t="str">
        <x:v>Indica correctamente el compromiso escrito de veinte horas semanales para maestría y cuarenta para doctorado, respaldado por F1.</x:v>
      </x:c>
      <x:c r="U7" s="22" t="str">
        <x:v>Nicole Tatiana Parra Valverde</x:v>
      </x:c>
      <x:c r="V7" s="23" t="n">
        <x:v>46231</x:v>
      </x:c>
      <x:c r="W7" s="20" t="str">
        <x:f>IF(AND(COUNTA(N7:S7)=6,U7&lt;&gt;"",V7&lt;&gt;""),"Sí","No")</x:f>
        <x:v>Sí</x:v>
      </x:c>
    </x:row>
    <x:row r="8" ht="160" customHeight="1">
      <x:c r="A8" s="16" t="str">
        <x:f>'Datos base'!B8</x:f>
        <x:v>q007</x:v>
      </x:c>
      <x:c r="B8" s="16" t="str">
        <x:f>'Datos base'!C8</x:f>
        <x:v>direct</x:v>
      </x:c>
      <x:c r="C8" s="16" t="str">
        <x:f>'Datos base'!D8</x:f>
        <x:v>derechos_y_convivencia</x:v>
      </x:c>
      <x:c r="D8" s="21" t="str">
        <x:f>'Datos base'!F8</x:f>
        <x:v>¿En qué plazo puede una persona sancionada presentar recursos de revocatoria o apelación y qué instancias los resuelven?</x:v>
      </x:c>
      <x:c r="E8" s="21" t="str">
        <x:f>'Datos base'!G8</x:f>
        <x:v>Puede presentarlos por escrito o por medios electrónicos dentro de los tres días hábiles siguientes a la comunicación de la sanción. El Tribunal Disciplinario Formativo resuelve la revocatoria y la autoridad de la Vicerrectoría de Vida Estudiantil y Servicios Académicos resuelve la apelación.</x:v>
      </x:c>
      <x:c r="F8" s="21" t="str">
        <x:f>'Datos base'!H8</x:f>
        <x:v>answered</x:v>
      </x:c>
      <x:c r="G8" s="21" t="str">
        <x:f>IF('Datos base'!H8="error",'Datos base'!R8,'Datos base'!I8)</x:f>
        <x:v>Una persona sancionada podrá plantear recursos de revocatoria y de apelación dentro de los tres días hábiles siguientes a la fecha de comunicación de la sanción [F1]. El recurso de revocatoria será resuelto por el Tribunal Disciplinario Formativo, quien dictará sus resoluciones en ocho días hábiles [F1], mientras que el recurso de apelación será resuelto por quien ejerce la autoridad de la Vicerrectoría de Vida Estudiantil y Servicios Académicos, también con un plazo de resolución de ocho días hábiles [F1].</x:v>
      </x:c>
      <x:c r="H8" s="21" t="str">
        <x:f>'Datos base'!J8</x:f>
        <x:v>F1</x:v>
      </x:c>
      <x:c r="I8" s="21" t="str">
        <x:f>'Datos base'!K8</x:f>
        <x:v>tec-convivencia-disciplina::article-37</x:v>
      </x:c>
      <x:c r="J8" s="21" t="str">
        <x:f>'Datos base'!L8</x:f>
        <x:v>tec-convivencia-disciplina::article-37</x:v>
      </x:c>
      <x:c r="K8" s="16" t="str">
        <x:f>'Datos base'!M8</x:f>
        <x:v>Sí</x:v>
      </x:c>
      <x:c r="L8" s="16" t="str">
        <x:f>'Datos base'!N8</x:f>
        <x:v>Sí</x:v>
      </x:c>
      <x:c r="M8" s="21" t="str">
        <x:f>IF('Datos base'!P8="Sí","Error estructural",IF('Datos base'!O8="No","Decisión incorrecta",IF(AND('Datos base'!E8="Sí",'Datos base'!N8="No"),"Cita no gold","Revisión normal")))</x:f>
        <x:v>Revisión normal</x:v>
      </x:c>
      <x:c r="N8" s="22" t="str">
        <x:v>Correcta</x:v>
      </x:c>
      <x:c r="O8" s="22" t="str">
        <x:v>Completa</x:v>
      </x:c>
      <x:c r="P8" s="22" t="str">
        <x:v>Total</x:v>
      </x:c>
      <x:c r="Q8" s="22" t="str">
        <x:v>Clara</x:v>
      </x:c>
      <x:c r="R8" s="22" t="str">
        <x:v>Sí</x:v>
      </x:c>
      <x:c r="S8" s="22" t="str">
        <x:v>Aprobada</x:v>
      </x:c>
      <x:c r="T8" s="22" t="str">
        <x:v>Responde el plazo de tres días hábiles y las instancias que resuelven cada recurso. Los plazos de resolución añadidos también están respaldados por F1.</x:v>
      </x:c>
      <x:c r="U8" s="22" t="str">
        <x:v>Nicole Tatiana Parra Valverde</x:v>
      </x:c>
      <x:c r="V8" s="23" t="n">
        <x:v>46231</x:v>
      </x:c>
      <x:c r="W8" s="20" t="str">
        <x:f>IF(AND(COUNTA(N8:S8)=6,U8&lt;&gt;"",V8&lt;&gt;""),"Sí","No")</x:f>
        <x:v>Sí</x:v>
      </x:c>
    </x:row>
    <x:row r="9" ht="160" customHeight="1">
      <x:c r="A9" s="16" t="str">
        <x:f>'Datos base'!B9</x:f>
        <x:v>q008</x:v>
      </x:c>
      <x:c r="B9" s="16" t="str">
        <x:f>'Datos base'!C9</x:f>
        <x:v>direct</x:v>
      </x:c>
      <x:c r="C9" s="16" t="str">
        <x:f>'Datos base'!D9</x:f>
        <x:v>admisión_y_graduación</x:v>
      </x:c>
      <x:c r="D9" s="21" t="str">
        <x:f>'Datos base'!F9</x:f>
        <x:v>¿Qué requisito académico mínimo permite optar por un cambio de carrera y qué criterio se usa para seleccionar?</x:v>
      </x:c>
      <x:c r="E9" s="21" t="str">
        <x:f>'Datos base'!G9</x:f>
        <x:v>Se deben haber cursado y aprobado seis créditos del plan de estudios de la carrera en que se está matriculado. La selección usa el promedio ponderado de todas las materias cursadas en el último periodo.</x:v>
      </x:c>
      <x:c r="F9" s="21" t="str">
        <x:f>'Datos base'!H9</x:f>
        <x:v>answered</x:v>
      </x:c>
      <x:c r="G9" s="21" t="str">
        <x:f>IF('Datos base'!H9="error",'Datos base'!R9,'Datos base'!I9)</x:f>
        <x:v>Para optar al cambio de carrera, el estudiante debe haber cursado y aprobado seis créditos del plan de estudios en el cual está matriculado [F1]. El criterio de selección utilizado es el promedio ponderado de calificaciones de todas las materias cursadas en el último periodo [F1].</x:v>
      </x:c>
      <x:c r="H9" s="21" t="str">
        <x:f>'Datos base'!J9</x:f>
        <x:v>F1</x:v>
      </x:c>
      <x:c r="I9" s="21" t="str">
        <x:f>'Datos base'!K9</x:f>
        <x:v>tec-admision-grado::article-39</x:v>
      </x:c>
      <x:c r="J9" s="21" t="str">
        <x:f>'Datos base'!L9</x:f>
        <x:v>tec-admision-grado::article-39</x:v>
      </x:c>
      <x:c r="K9" s="16" t="str">
        <x:f>'Datos base'!M9</x:f>
        <x:v>Sí</x:v>
      </x:c>
      <x:c r="L9" s="16" t="str">
        <x:f>'Datos base'!N9</x:f>
        <x:v>Sí</x:v>
      </x:c>
      <x:c r="M9" s="21" t="str">
        <x:f>IF('Datos base'!P9="Sí","Error estructural",IF('Datos base'!O9="No","Decisión incorrecta",IF(AND('Datos base'!E9="Sí",'Datos base'!N9="No"),"Cita no gold","Revisión normal")))</x:f>
        <x:v>Revisión normal</x:v>
      </x:c>
      <x:c r="N9" s="22" t="str">
        <x:v>Correcta</x:v>
      </x:c>
      <x:c r="O9" s="22" t="str">
        <x:v>Completa</x:v>
      </x:c>
      <x:c r="P9" s="22" t="str">
        <x:v>Total</x:v>
      </x:c>
      <x:c r="Q9" s="22" t="str">
        <x:v>Clara</x:v>
      </x:c>
      <x:c r="R9" s="22" t="str">
        <x:v>Sí</x:v>
      </x:c>
      <x:c r="S9" s="22" t="str">
        <x:v>Aprobada</x:v>
      </x:c>
      <x:c r="T9" s="22" t="str">
        <x:v>Responde los dos elementos solicitados: seis créditos cursados y aprobados, y selección por promedio ponderado del último periodo.</x:v>
      </x:c>
      <x:c r="U9" s="22" t="str">
        <x:v>Nicole Tatiana Parra Valverde</x:v>
      </x:c>
      <x:c r="V9" s="23" t="n">
        <x:v>46231</x:v>
      </x:c>
      <x:c r="W9" s="20" t="str">
        <x:f>IF(AND(COUNTA(N9:S9)=6,U9&lt;&gt;"",V9&lt;&gt;""),"Sí","No")</x:f>
        <x:v>Sí</x:v>
      </x:c>
    </x:row>
    <x:row r="10" ht="160" customHeight="1">
      <x:c r="A10" s="16" t="str">
        <x:f>'Datos base'!B10</x:f>
        <x:v>q009</x:v>
      </x:c>
      <x:c r="B10" s="16" t="str">
        <x:f>'Datos base'!C10</x:f>
        <x:v>direct</x:v>
      </x:c>
      <x:c r="C10" s="16" t="str">
        <x:f>'Datos base'!D10</x:f>
        <x:v>admisión_y_graduación</x:v>
      </x:c>
      <x:c r="D10" s="21" t="str">
        <x:f>'Datos base'!F10</x:f>
        <x:v>¿Cuál es el propósito de la Prueba de Aptitud Académica del TEC?</x:v>
      </x:c>
      <x:c r="E10" s="21" t="str">
        <x:f>'Datos base'!G10</x:f>
        <x:v>Es un test psicoeducativo que busca contribuir a predecir el rendimiento académico de quienes solicitan ingreso y constituye uno de los criterios de admisión al TEC.</x:v>
      </x:c>
      <x:c r="F10" s="21" t="str">
        <x:f>'Datos base'!H10</x:f>
        <x:v>answered</x:v>
      </x:c>
      <x:c r="G10" s="21" t="str">
        <x:f>IF('Datos base'!H10="error",'Datos base'!R10,'Datos base'!I10)</x:f>
        <x:v>El propósito de la prueba es contribuir a predecir el rendimiento académico de las personas que solicitan ingreso al ITCR [F1].</x:v>
      </x:c>
      <x:c r="H10" s="21" t="str">
        <x:f>'Datos base'!J10</x:f>
        <x:v>F1</x:v>
      </x:c>
      <x:c r="I10" s="21" t="str">
        <x:f>'Datos base'!K10</x:f>
        <x:v>tec-prueba-aptitud::article-3</x:v>
      </x:c>
      <x:c r="J10" s="21" t="str">
        <x:f>'Datos base'!L10</x:f>
        <x:v>tec-prueba-aptitud::article-3</x:v>
      </x:c>
      <x:c r="K10" s="16" t="str">
        <x:f>'Datos base'!M10</x:f>
        <x:v>Sí</x:v>
      </x:c>
      <x:c r="L10" s="16" t="str">
        <x:f>'Datos base'!N10</x:f>
        <x:v>Sí</x:v>
      </x:c>
      <x:c r="M10" s="21" t="str">
        <x:f>IF('Datos base'!P10="Sí","Error estructural",IF('Datos base'!O10="No","Decisión incorrecta",IF(AND('Datos base'!E10="Sí",'Datos base'!N10="No"),"Cita no gold","Revisión normal")))</x:f>
        <x:v>Revisión normal</x:v>
      </x:c>
      <x:c r="N10" s="22" t="str">
        <x:v>Correcta</x:v>
      </x:c>
      <x:c r="O10" s="22" t="str">
        <x:v>Completa</x:v>
      </x:c>
      <x:c r="P10" s="22" t="str">
        <x:v>Total</x:v>
      </x:c>
      <x:c r="Q10" s="22" t="str">
        <x:v>Clara</x:v>
      </x:c>
      <x:c r="R10" s="22" t="str">
        <x:v>Sí</x:v>
      </x:c>
      <x:c r="S10" s="22" t="str">
        <x:v>Aprobada</x:v>
      </x:c>
      <x:c r="T10" s="22" t="str">
        <x:v>Expresa exactamente el propósito de la prueba: contribuir a predecir el rendimiento académico de quienes solicitan ingreso.</x:v>
      </x:c>
      <x:c r="U10" s="22" t="str">
        <x:v>Nicole Tatiana Parra Valverde</x:v>
      </x:c>
      <x:c r="V10" s="23" t="n">
        <x:v>46231</x:v>
      </x:c>
      <x:c r="W10" s="20" t="str">
        <x:f>IF(AND(COUNTA(N10:S10)=6,U10&lt;&gt;"",V10&lt;&gt;""),"Sí","No")</x:f>
        <x:v>Sí</x:v>
      </x:c>
    </x:row>
    <x:row r="11" ht="160" customHeight="1">
      <x:c r="A11" s="16" t="str">
        <x:f>'Datos base'!B11</x:f>
        <x:v>q010</x:v>
      </x:c>
      <x:c r="B11" s="16" t="str">
        <x:f>'Datos base'!C11</x:f>
        <x:v>direct</x:v>
      </x:c>
      <x:c r="C11" s="16" t="str">
        <x:f>'Datos base'!D11</x:f>
        <x:v>admisión_y_graduación</x:v>
      </x:c>
      <x:c r="D11" s="21" t="str">
        <x:f>'Datos base'!F11</x:f>
        <x:v>¿Cuál es el promedio mínimo requerido en programas de grado para obtener graduación de honor?</x:v>
      </x:c>
      <x:c r="E11" s="21" t="str">
        <x:f>'Datos base'!G11</x:f>
        <x:v>Se requiere un promedio final ponderado igual o superior a 90, incluyendo las asignaturas aprobadas por suficiencia.</x:v>
      </x:c>
      <x:c r="F11" s="21" t="str">
        <x:f>'Datos base'!H11</x:f>
        <x:v>answered</x:v>
      </x:c>
      <x:c r="G11" s="21" t="str">
        <x:f>IF('Datos base'!H11="error",'Datos base'!R11,'Datos base'!I11)</x:f>
        <x:v>Para los programas de grado, la persona estudiante deberá tener un promedio final ponderado de calificaciones, con los créditos como factor de ponderado final, igual o superior a 90 [F1].</x:v>
      </x:c>
      <x:c r="H11" s="21" t="str">
        <x:f>'Datos base'!J11</x:f>
        <x:v>F1</x:v>
      </x:c>
      <x:c r="I11" s="21" t="str">
        <x:f>'Datos base'!K11</x:f>
        <x:v>tec-graduacion::article-7-ter</x:v>
      </x:c>
      <x:c r="J11" s="21" t="str">
        <x:f>'Datos base'!L11</x:f>
        <x:v>tec-graduacion::article-7-ter</x:v>
      </x:c>
      <x:c r="K11" s="16" t="str">
        <x:f>'Datos base'!M11</x:f>
        <x:v>Sí</x:v>
      </x:c>
      <x:c r="L11" s="16" t="str">
        <x:f>'Datos base'!N11</x:f>
        <x:v>Sí</x:v>
      </x:c>
      <x:c r="M11" s="21" t="str">
        <x:f>IF('Datos base'!P11="Sí","Error estructural",IF('Datos base'!O11="No","Decisión incorrecta",IF(AND('Datos base'!E11="Sí",'Datos base'!N11="No"),"Cita no gold","Revisión normal")))</x:f>
        <x:v>Revisión normal</x:v>
      </x:c>
      <x:c r="N11" s="22" t="str">
        <x:v>Correcta</x:v>
      </x:c>
      <x:c r="O11" s="22" t="str">
        <x:v>Completa</x:v>
      </x:c>
      <x:c r="P11" s="22" t="str">
        <x:v>Total</x:v>
      </x:c>
      <x:c r="Q11" s="22" t="str">
        <x:v>Clara</x:v>
      </x:c>
      <x:c r="R11" s="22" t="str">
        <x:v>Sí</x:v>
      </x:c>
      <x:c r="S11" s="22" t="str">
        <x:v>Aprobada</x:v>
      </x:c>
      <x:c r="T11" s="22" t="str">
        <x:v>Responde correctamente el promedio mínimo solicitado, igual o superior a 90. No menciona las asignaturas por suficiencia, pero ese detalle no era una parte explícita de la pregunta.</x:v>
      </x:c>
      <x:c r="U11" s="22" t="str">
        <x:v>Nicole Tatiana Parra Valverde</x:v>
      </x:c>
      <x:c r="V11" s="23" t="n">
        <x:v>46231</x:v>
      </x:c>
      <x:c r="W11" s="20" t="str">
        <x:f>IF(AND(COUNTA(N11:S11)=6,U11&lt;&gt;"",V11&lt;&gt;""),"Sí","No")</x:f>
        <x:v>Sí</x:v>
      </x:c>
    </x:row>
    <x:row r="12" ht="160" customHeight="1">
      <x:c r="A12" s="16" t="str">
        <x:f>'Datos base'!B12</x:f>
        <x:v>q011</x:v>
      </x:c>
      <x:c r="B12" s="16" t="str">
        <x:f>'Datos base'!C12</x:f>
        <x:v>direct</x:v>
      </x:c>
      <x:c r="C12" s="16" t="str">
        <x:f>'Datos base'!D12</x:f>
        <x:v>admisión_y_graduación</x:v>
      </x:c>
      <x:c r="D12" s="21" t="str">
        <x:f>'Datos base'!F12</x:f>
        <x:v>¿Cuántos créditos puede valer un Trabajo Final de Graduación?</x:v>
      </x:c>
      <x:c r="E12" s="21" t="str">
        <x:f>'Datos base'!G12</x:f>
        <x:v>Debe tener un valor mínimo de siete créditos y un máximo de doce créditos.</x:v>
      </x:c>
      <x:c r="F12" s="21" t="str">
        <x:f>'Datos base'!H12</x:f>
        <x:v>answered</x:v>
      </x:c>
      <x:c r="G12" s="21" t="str">
        <x:f>IF('Datos base'!H12="error",'Datos base'!R12,'Datos base'!I12)</x:f>
        <x:v>Un Trabajo Final de Graduación debe tener un valor mínimo de siete créditos y un máximo de doce créditos [F1].</x:v>
      </x:c>
      <x:c r="H12" s="21" t="str">
        <x:f>'Datos base'!J12</x:f>
        <x:v>F1</x:v>
      </x:c>
      <x:c r="I12" s="21" t="str">
        <x:f>'Datos base'!K12</x:f>
        <x:v>tec-tfg-grado::article-7</x:v>
      </x:c>
      <x:c r="J12" s="21" t="str">
        <x:f>'Datos base'!L12</x:f>
        <x:v>tec-tfg-grado::article-7</x:v>
      </x:c>
      <x:c r="K12" s="16" t="str">
        <x:f>'Datos base'!M12</x:f>
        <x:v>Sí</x:v>
      </x:c>
      <x:c r="L12" s="16" t="str">
        <x:f>'Datos base'!N12</x:f>
        <x:v>Sí</x:v>
      </x:c>
      <x:c r="M12" s="21" t="str">
        <x:f>IF('Datos base'!P12="Sí","Error estructural",IF('Datos base'!O12="No","Decisión incorrecta",IF(AND('Datos base'!E12="Sí",'Datos base'!N12="No"),"Cita no gold","Revisión normal")))</x:f>
        <x:v>Revisión normal</x:v>
      </x:c>
      <x:c r="N12" s="22" t="str">
        <x:v>Correcta</x:v>
      </x:c>
      <x:c r="O12" s="22" t="str">
        <x:v>Completa</x:v>
      </x:c>
      <x:c r="P12" s="22" t="str">
        <x:v>Total</x:v>
      </x:c>
      <x:c r="Q12" s="22" t="str">
        <x:v>Clara</x:v>
      </x:c>
      <x:c r="R12" s="22" t="str">
        <x:v>Sí</x:v>
      </x:c>
      <x:c r="S12" s="22" t="str">
        <x:v>Aprobada</x:v>
      </x:c>
      <x:c r="T12" s="22" t="str">
        <x:v>Responde exactamente el valor mínimo de siete créditos y el máximo de doce créditos establecido en F1.</x:v>
      </x:c>
      <x:c r="U12" s="22" t="str">
        <x:v>Nicole Tatiana Parra Valverde</x:v>
      </x:c>
      <x:c r="V12" s="23" t="n">
        <x:v>46231</x:v>
      </x:c>
      <x:c r="W12" s="20" t="str">
        <x:f>IF(AND(COUNTA(N12:S12)=6,U12&lt;&gt;"",V12&lt;&gt;""),"Sí","No")</x:f>
        <x:v>Sí</x:v>
      </x:c>
    </x:row>
    <x:row r="13" ht="160" customHeight="1">
      <x:c r="A13" s="16" t="str">
        <x:f>'Datos base'!B13</x:f>
        <x:v>q012</x:v>
      </x:c>
      <x:c r="B13" s="16" t="str">
        <x:f>'Datos base'!C13</x:f>
        <x:v>direct</x:v>
      </x:c>
      <x:c r="C13" s="16" t="str">
        <x:f>'Datos base'!D13</x:f>
        <x:v>admisión_y_graduación</x:v>
      </x:c>
      <x:c r="D13" s="21" t="str">
        <x:f>'Datos base'!F13</x:f>
        <x:v>¿Qué exigencias de idioma y autenticación se aplican a ciertos documentos extranjeros para reconocer o equiparar un grado o título?</x:v>
      </x:c>
      <x:c r="E13" s="21" t="str">
        <x:f>'Datos base'!G13</x:f>
        <x:v>Los documentos señalados en los incisos b, c y ch deben traducirse al español y sus originales deben estar autenticados. Si no hay consulado de Costa Rica en el país emisor, puede utilizarse el procedimiento de terceros países.</x:v>
      </x:c>
      <x:c r="F13" s="21" t="str">
        <x:f>'Datos base'!H13</x:f>
        <x:v>answered</x:v>
      </x:c>
      <x:c r="G13" s="21" t="str">
        <x:f>IF('Datos base'!H13="error",'Datos base'!R13,'Datos base'!I13)</x:f>
        <x:v>Los documentos deben ser traducidos al español [F2]. Los originales deben estar autenticados, salvo que la institución certifique una copia fiel y exacta avalada por una autoridad competente de dicha institución [F3]. La secuencia de autenticación incluye: firma autorizada de la Oficina Legal de la universidad donde se obtuvo el diploma; firma gubernamental del país (si es requerida); firma del Cónsul de Costa Rica en ese país; y finalmente, firma del Ministerio de Relaciones Exteriores y Culto de Costa Rica [F3].</x:v>
      </x:c>
      <x:c r="H13" s="21" t="str">
        <x:f>'Datos base'!J13</x:f>
        <x:v>F2, F3</x:v>
      </x:c>
      <x:c r="I13" s="21" t="str">
        <x:f>'Datos base'!K13</x:f>
        <x:v>tec-reconocimiento-grados-titulos::article-7
tec-reconocimiento-grados-titulos::article-8</x:v>
      </x:c>
      <x:c r="J13" s="21" t="str">
        <x:f>'Datos base'!L13</x:f>
        <x:v>tec-reconocimiento-grados-titulos::article-7</x:v>
      </x:c>
      <x:c r="K13" s="16" t="str">
        <x:f>'Datos base'!M13</x:f>
        <x:v>Sí</x:v>
      </x:c>
      <x:c r="L13" s="16" t="str">
        <x:f>'Datos base'!N13</x:f>
        <x:v>Sí</x:v>
      </x:c>
      <x:c r="M13" s="21" t="str">
        <x:f>IF('Datos base'!P13="Sí","Error estructural",IF('Datos base'!O13="No","Decisión incorrecta",IF(AND('Datos base'!E13="Sí",'Datos base'!N13="No"),"Cita no gold","Revisión normal")))</x:f>
        <x:v>Revisión normal</x:v>
      </x:c>
      <x:c r="N13" s="22" t="str">
        <x:v>Correcta</x:v>
      </x:c>
      <x:c r="O13" s="22" t="str">
        <x:v>Parcial</x:v>
      </x:c>
      <x:c r="P13" s="22" t="str">
        <x:v>Total</x:v>
      </x:c>
      <x:c r="Q13" s="22" t="str">
        <x:v>Clara</x:v>
      </x:c>
      <x:c r="R13" s="22" t="str">
        <x:v>Sí</x:v>
      </x:c>
      <x:c r="S13" s="22" t="str">
        <x:v>Revisar</x:v>
      </x:c>
      <x:c r="T13" s="22" t="str">
        <x:v>Explica correctamente traducción y autenticación, e incorpora la secuencia respaldada por F3. Omite el procedimiento de terceros países cuando no existe consulado de Costa Rica.</x:v>
      </x:c>
      <x:c r="U13" s="22" t="str">
        <x:v>Nicole Tatiana Parra Valverde</x:v>
      </x:c>
      <x:c r="V13" s="23" t="n">
        <x:v>46231</x:v>
      </x:c>
      <x:c r="W13" s="20" t="str">
        <x:f>IF(AND(COUNTA(N13:S13)=6,U13&lt;&gt;"",V13&lt;&gt;""),"Sí","No")</x:f>
        <x:v>Sí</x:v>
      </x:c>
    </x:row>
    <x:row r="14" ht="160" customHeight="1">
      <x:c r="A14" s="16" t="str">
        <x:f>'Datos base'!B14</x:f>
        <x:v>q013</x:v>
      </x:c>
      <x:c r="B14" s="16" t="str">
        <x:f>'Datos base'!C14</x:f>
        <x:v>direct</x:v>
      </x:c>
      <x:c r="C14" s="16" t="str">
        <x:f>'Datos base'!D14</x:f>
        <x:v>becas_y_apoyo</x:v>
      </x:c>
      <x:c r="D14" s="21" t="str">
        <x:f>'Datos base'!F14</x:f>
        <x:v>¿Cuál es el mínimo y el máximo de horas semanales que se pueden asignar a un estudiante asistente?</x:v>
      </x:c>
      <x:c r="E14" s="21" t="str">
        <x:f>'Datos base'!G14</x:f>
        <x:v>Se pueden asignar como mínimo cinco y como máximo diez horas semanales.</x:v>
      </x:c>
      <x:c r="F14" s="21" t="str">
        <x:f>'Datos base'!H14</x:f>
        <x:v>answered</x:v>
      </x:c>
      <x:c r="G14" s="21" t="str">
        <x:f>IF('Datos base'!H14="error",'Datos base'!R14,'Datos base'!I14)</x:f>
        <x:v>El mínimo de horas semanales que se podrán asignar a un estudiante por concepto de horas estudiante será de cinco, mientras que el máximo será de diez [F1]. Por otro lado, para estudiantes beneficiarios del reglamento de beca como Estudiante Asistente Especial, las horas por semana serán de un mínimo de diez y un máximo de veinte [F3].</x:v>
      </x:c>
      <x:c r="H14" s="21" t="str">
        <x:f>'Datos base'!J14</x:f>
        <x:v>F1, F3</x:v>
      </x:c>
      <x:c r="I14" s="21" t="str">
        <x:f>'Datos base'!K14</x:f>
        <x:v>tec-horas-estudiante-asistente::article-13
tec-beca-asistente-especial::article-12</x:v>
      </x:c>
      <x:c r="J14" s="21" t="str">
        <x:f>'Datos base'!L14</x:f>
        <x:v>tec-horas-estudiante-asistente::article-13</x:v>
      </x:c>
      <x:c r="K14" s="16" t="str">
        <x:f>'Datos base'!M14</x:f>
        <x:v>Sí</x:v>
      </x:c>
      <x:c r="L14" s="16" t="str">
        <x:f>'Datos base'!N14</x:f>
        <x:v>Sí</x:v>
      </x:c>
      <x:c r="M14" s="21" t="str">
        <x:f>IF('Datos base'!P14="Sí","Error estructural",IF('Datos base'!O14="No","Decisión incorrecta",IF(AND('Datos base'!E14="Sí",'Datos base'!N14="No"),"Cita no gold","Revisión normal")))</x:f>
        <x:v>Revisión normal</x:v>
      </x:c>
      <x:c r="N14" s="22" t="str">
        <x:v>Correcta</x:v>
      </x:c>
      <x:c r="O14" s="22" t="str">
        <x:v>Completa</x:v>
      </x:c>
      <x:c r="P14" s="22" t="str">
        <x:v>Total</x:v>
      </x:c>
      <x:c r="Q14" s="22" t="str">
        <x:v>Clara</x:v>
      </x:c>
      <x:c r="R14" s="22" t="str">
        <x:v>Sí</x:v>
      </x:c>
      <x:c r="S14" s="22" t="str">
        <x:v>Aprobada</x:v>
      </x:c>
      <x:c r="T14" s="22" t="str">
        <x:v>Responde correctamente el rango general de cinco a diez horas. Distingue además el caso especial de diez a veinte horas, respaldado por F3.</x:v>
      </x:c>
      <x:c r="U14" s="22" t="str">
        <x:v>Nicole Tatiana Parra Valverde</x:v>
      </x:c>
      <x:c r="V14" s="23" t="n">
        <x:v>46231</x:v>
      </x:c>
      <x:c r="W14" s="20" t="str">
        <x:f>IF(AND(COUNTA(N14:S14)=6,U14&lt;&gt;"",V14&lt;&gt;""),"Sí","No")</x:f>
        <x:v>Sí</x:v>
      </x:c>
    </x:row>
    <x:row r="15" ht="160" customHeight="1">
      <x:c r="A15" s="16" t="str">
        <x:f>'Datos base'!B15</x:f>
        <x:v>q014</x:v>
      </x:c>
      <x:c r="B15" s="16" t="str">
        <x:f>'Datos base'!C15</x:f>
        <x:v>direct</x:v>
      </x:c>
      <x:c r="C15" s="16" t="str">
        <x:f>'Datos base'!D15</x:f>
        <x:v>becas_y_apoyo</x:v>
      </x:c>
      <x:c r="D15" s="21" t="str">
        <x:f>'Datos base'!F15</x:f>
        <x:v>¿Cuál es el rango de horas semanales de una Beca Estudiante Asistente Especial?</x:v>
      </x:c>
      <x:c r="E15" s="21" t="str">
        <x:f>'Datos base'!G15</x:f>
        <x:v>La persona beneficiaria puede dedicar un mínimo de diez y un máximo de veinte horas por semana.</x:v>
      </x:c>
      <x:c r="F15" s="21" t="str">
        <x:f>'Datos base'!H15</x:f>
        <x:v>answered</x:v>
      </x:c>
      <x:c r="G15" s="21" t="str">
        <x:f>IF('Datos base'!H15="error",'Datos base'!R15,'Datos base'!I15)</x:f>
        <x:v>El rango de horas semanales que un(a) estudiante beneficiario(a) podrá dedicar para efectuar las actividades mencionadas en la Beca Estudiante Asistente Especial es de un mínimo de diez y un máximo de veinte [F1].</x:v>
      </x:c>
      <x:c r="H15" s="21" t="str">
        <x:f>'Datos base'!J15</x:f>
        <x:v>F1</x:v>
      </x:c>
      <x:c r="I15" s="21" t="str">
        <x:f>'Datos base'!K15</x:f>
        <x:v>tec-beca-asistente-especial::article-12</x:v>
      </x:c>
      <x:c r="J15" s="21" t="str">
        <x:f>'Datos base'!L15</x:f>
        <x:v>tec-beca-asistente-especial::article-12</x:v>
      </x:c>
      <x:c r="K15" s="16" t="str">
        <x:f>'Datos base'!M15</x:f>
        <x:v>Sí</x:v>
      </x:c>
      <x:c r="L15" s="16" t="str">
        <x:f>'Datos base'!N15</x:f>
        <x:v>Sí</x:v>
      </x:c>
      <x:c r="M15" s="21" t="str">
        <x:f>IF('Datos base'!P15="Sí","Error estructural",IF('Datos base'!O15="No","Decisión incorrecta",IF(AND('Datos base'!E15="Sí",'Datos base'!N15="No"),"Cita no gold","Revisión normal")))</x:f>
        <x:v>Revisión normal</x:v>
      </x:c>
      <x:c r="N15" s="22" t="str">
        <x:v>Correcta</x:v>
      </x:c>
      <x:c r="O15" s="22" t="str">
        <x:v>Completa</x:v>
      </x:c>
      <x:c r="P15" s="22" t="str">
        <x:v>Total</x:v>
      </x:c>
      <x:c r="Q15" s="22" t="str">
        <x:v>Clara</x:v>
      </x:c>
      <x:c r="R15" s="22" t="str">
        <x:v>Sí</x:v>
      </x:c>
      <x:c r="S15" s="22" t="str">
        <x:v>Aprobada</x:v>
      </x:c>
      <x:c r="T15" s="22" t="str">
        <x:v>Responde exactamente el rango de diez a veinte horas semanales para la Beca Estudiante Asistente Especial, respaldado por F1.</x:v>
      </x:c>
      <x:c r="U15" s="22" t="str">
        <x:v>Nicole Tatiana Parra Valverde</x:v>
      </x:c>
      <x:c r="V15" s="23" t="n">
        <x:v>46231</x:v>
      </x:c>
      <x:c r="W15" s="20" t="str">
        <x:f>IF(AND(COUNTA(N15:S15)=6,U15&lt;&gt;"",V15&lt;&gt;""),"Sí","No")</x:f>
        <x:v>Sí</x:v>
      </x:c>
    </x:row>
    <x:row r="16" ht="160" customHeight="1">
      <x:c r="A16" s="16" t="str">
        <x:f>'Datos base'!B16</x:f>
        <x:v>q015</x:v>
      </x:c>
      <x:c r="B16" s="16" t="str">
        <x:f>'Datos base'!C16</x:f>
        <x:v>direct</x:v>
      </x:c>
      <x:c r="C16" s="16" t="str">
        <x:f>'Datos base'!D16</x:f>
        <x:v>becas_y_apoyo</x:v>
      </x:c>
      <x:c r="D16" s="21" t="str">
        <x:f>'Datos base'!F16</x:f>
        <x:v>¿Cuál es el máximo de horas semanales para un estudiante asistente de investigación o extensión y cuál es la excepción?</x:v>
      </x:c>
      <x:c r="E16" s="21" t="str">
        <x:f>'Datos base'!G16</x:f>
        <x:v>El máximo ordinario es de veinte horas semanales. Quienes cursan un Trabajo Final de Graduación que forma parte de un proyecto de investigación o extensión inscrito en la VIE pueden dedicar hasta cuarenta horas semanales.</x:v>
      </x:c>
      <x:c r="F16" s="21" t="str">
        <x:f>'Datos base'!H16</x:f>
        <x:v>answered</x:v>
      </x:c>
      <x:c r="G16" s="21" t="str">
        <x:f>IF('Datos base'!H16="error",'Datos base'!R16,'Datos base'!I16)</x:f>
        <x:v>El máximo de horas semanales permitido para los estudiantes asistentes a proyectos de investigación y extensión es de 20 horas, con una excepción que permite dedicar hasta 40 horas semanales a aquellos estudiantes que cursan trabajo final de graduación y forman parte de un proyecto inscrito en la VIE [F1].</x:v>
      </x:c>
      <x:c r="H16" s="21" t="str">
        <x:f>'Datos base'!J16</x:f>
        <x:v>F1</x:v>
      </x:c>
      <x:c r="I16" s="21" t="str">
        <x:f>'Datos base'!K16</x:f>
        <x:v>tec-beca-asistente-investigacion::article-11</x:v>
      </x:c>
      <x:c r="J16" s="21" t="str">
        <x:f>'Datos base'!L16</x:f>
        <x:v>tec-beca-asistente-investigacion::article-11</x:v>
      </x:c>
      <x:c r="K16" s="16" t="str">
        <x:f>'Datos base'!M16</x:f>
        <x:v>Sí</x:v>
      </x:c>
      <x:c r="L16" s="16" t="str">
        <x:f>'Datos base'!N16</x:f>
        <x:v>Sí</x:v>
      </x:c>
      <x:c r="M16" s="21" t="str">
        <x:f>IF('Datos base'!P16="Sí","Error estructural",IF('Datos base'!O16="No","Decisión incorrecta",IF(AND('Datos base'!E16="Sí",'Datos base'!N16="No"),"Cita no gold","Revisión normal")))</x:f>
        <x:v>Revisión normal</x:v>
      </x:c>
      <x:c r="N16" s="22" t="str">
        <x:v>Correcta</x:v>
      </x:c>
      <x:c r="O16" s="22" t="str">
        <x:v>Completa</x:v>
      </x:c>
      <x:c r="P16" s="22" t="str">
        <x:v>Total</x:v>
      </x:c>
      <x:c r="Q16" s="22" t="str">
        <x:v>Clara</x:v>
      </x:c>
      <x:c r="R16" s="22" t="str">
        <x:v>Sí</x:v>
      </x:c>
      <x:c r="S16" s="22" t="str">
        <x:v>Aprobada</x:v>
      </x:c>
      <x:c r="T16" s="22" t="str">
        <x:v>Incluye correctamente el máximo ordinario de veinte horas y la excepción de cuarenta horas para TFG vinculados con proyectos inscritos en la VIE.</x:v>
      </x:c>
      <x:c r="U16" s="22" t="str">
        <x:v>Nicole Tatiana Parra Valverde</x:v>
      </x:c>
      <x:c r="V16" s="23" t="n">
        <x:v>46231</x:v>
      </x:c>
      <x:c r="W16" s="20" t="str">
        <x:f>IF(AND(COUNTA(N16:S16)=6,U16&lt;&gt;"",V16&lt;&gt;""),"Sí","No")</x:f>
        <x:v>Sí</x:v>
      </x:c>
    </x:row>
    <x:row r="17" ht="160" customHeight="1">
      <x:c r="A17" s="16" t="str">
        <x:f>'Datos base'!B17</x:f>
        <x:v>q016</x:v>
      </x:c>
      <x:c r="B17" s="16" t="str">
        <x:f>'Datos base'!C17</x:f>
        <x:v>direct</x:v>
      </x:c>
      <x:c r="C17" s="16" t="str">
        <x:f>'Datos base'!D17</x:f>
        <x:v>becas_y_apoyo</x:v>
      </x:c>
      <x:c r="D17" s="21" t="str">
        <x:f>'Datos base'!F17</x:f>
        <x:v>¿Qué programa recibe prioridad en la asignación de egresos del Fondo Solidario de Desarrollo Estudiantil?</x:v>
      </x:c>
      <x:c r="E17" s="21" t="str">
        <x:f>'Datos base'!G17</x:f>
        <x:v>Se asignan prioritariamente recursos para cubrir el Programa de Becas y Préstamos.</x:v>
      </x:c>
      <x:c r="F17" s="21" t="str">
        <x:f>'Datos base'!H17</x:f>
        <x:v>not_found</x:v>
      </x:c>
      <x:c r="G17" s="21" t="str">
        <x:f>IF('Datos base'!H17="error",'Datos base'!R17,'Datos base'!I17)</x:f>
        <x:v>No encontrado en el contexto.</x:v>
      </x:c>
      <x:c r="H17" s="21" t="n">
        <x:f>'Datos base'!J17</x:f>
        <x:v>0</x:v>
      </x:c>
      <x:c r="I17" s="21" t="n">
        <x:f>'Datos base'!K17</x:f>
        <x:v>0</x:v>
      </x:c>
      <x:c r="J17" s="21" t="str">
        <x:f>'Datos base'!L17</x:f>
        <x:v>tec-fondo-solidario::article-18</x:v>
      </x:c>
      <x:c r="K17" s="16" t="str">
        <x:f>'Datos base'!M17</x:f>
        <x:v>No</x:v>
      </x:c>
      <x:c r="L17" s="16" t="str">
        <x:f>'Datos base'!N17</x:f>
        <x:v>No</x:v>
      </x:c>
      <x:c r="M17" s="21" t="str">
        <x:f>IF('Datos base'!P17="Sí","Error estructural",IF('Datos base'!O17="No","Decisión incorrecta",IF(AND('Datos base'!E17="Sí",'Datos base'!N17="No"),"Cita no gold","Revisión normal")))</x:f>
        <x:v>Decisión incorrecta</x:v>
      </x:c>
      <x:c r="N17" s="22" t="str">
        <x:v>Incorrecta</x:v>
      </x:c>
      <x:c r="O17" s="22" t="str">
        <x:v>Insuficiente</x:v>
      </x:c>
      <x:c r="P17" s="22" t="str">
        <x:v>No aplica</x:v>
      </x:c>
      <x:c r="Q17" s="22" t="str">
        <x:v>Clara</x:v>
      </x:c>
      <x:c r="R17" s="22" t="str">
        <x:v>Sí</x:v>
      </x:c>
      <x:c r="S17" s="22" t="str">
        <x:v>Rechazada</x:v>
      </x:c>
      <x:c r="T17" s="22" t="str">
        <x:v>El sistema se abstuvo porque el artículo 18 no apareció entre los cinco fragmentos recuperados. La respuesta existe en el corpus: se prioriza el Programa de Becas y Préstamos. Fallo de recuperación.</x:v>
      </x:c>
      <x:c r="U17" s="22" t="str">
        <x:v>Nicole Tatiana Parra Valverde</x:v>
      </x:c>
      <x:c r="V17" s="23" t="n">
        <x:v>46231</x:v>
      </x:c>
      <x:c r="W17" s="20" t="str">
        <x:f>IF(AND(COUNTA(N17:S17)=6,U17&lt;&gt;"",V17&lt;&gt;""),"Sí","No")</x:f>
        <x:v>Sí</x:v>
      </x:c>
    </x:row>
    <x:row r="18" ht="160" customHeight="1">
      <x:c r="A18" s="16" t="str">
        <x:f>'Datos base'!B18</x:f>
        <x:v>q017</x:v>
      </x:c>
      <x:c r="B18" s="16" t="str">
        <x:f>'Datos base'!C18</x:f>
        <x:v>direct</x:v>
      </x:c>
      <x:c r="C18" s="16" t="str">
        <x:f>'Datos base'!D18</x:f>
        <x:v>becas_y_apoyo</x:v>
      </x:c>
      <x:c r="D18" s="21" t="str">
        <x:f>'Datos base'!F18</x:f>
        <x:v>¿Qué condiciones debe cumplir un estudiante para recibir financiamiento para actividades en el exterior?</x:v>
      </x:c>
      <x:c r="E18" s="21" t="str">
        <x:f>'Datos base'!G18</x:f>
        <x:v>Debe demostrar participación destacada en el campo correspondiente, contar con algún financiamiento del organismo patrocinador, demostrar aprovechamiento académico y no haber sido sancionado por el Tribunal de Sanciones del ITCR.</x:v>
      </x:c>
      <x:c r="F18" s="21" t="str">
        <x:f>'Datos base'!H18</x:f>
        <x:v>answered</x:v>
      </x:c>
      <x:c r="G18" s="21" t="str">
        <x:f>IF('Datos base'!H18="error",'Datos base'!R18,'Datos base'!I18)</x:f>
        <x:v>Para recibir financiamiento, el evento (actividad) debe estar dirigido a estudiantes de Diplomado o Bachillerato [F4], participar en actividades educativas, culturales o de desarrollo estudiantil en el exterior [F1], enmarcarse en el ámbito científico tecnológico, cultural o de desarrollo estudiantil y tener carácter internacional [F2]. Además, la actividad deberá propiciar el intercambio de experiencias o la adquisición de conocimientos [F5] y el estudiante beneficiario debe firmar un contrato que estipule sus derechos y obligaciones [F3].</x:v>
      </x:c>
      <x:c r="H18" s="21" t="str">
        <x:f>'Datos base'!J18</x:f>
        <x:v>F1, F4, F2, F5, F3</x:v>
      </x:c>
      <x:c r="I18" s="21" t="str">
        <x:f>'Datos base'!K18</x:f>
        <x:v>tec-financiamiento-exterior::article-2
tec-financiamiento-exterior::article-1
tec-financiamiento-exterior::article-13
tec-financiamiento-exterior::article-14
tec-financiamiento-exterior::article-18</x:v>
      </x:c>
      <x:c r="J18" s="21" t="str">
        <x:f>'Datos base'!L18</x:f>
        <x:v>tec-financiamiento-exterior::article-11</x:v>
      </x:c>
      <x:c r="K18" s="16" t="str">
        <x:f>'Datos base'!M18</x:f>
        <x:v>No</x:v>
      </x:c>
      <x:c r="L18" s="16" t="str">
        <x:f>'Datos base'!N18</x:f>
        <x:v>No</x:v>
      </x:c>
      <x:c r="M18" s="21" t="str">
        <x:f>IF('Datos base'!P18="Sí","Error estructural",IF('Datos base'!O18="No","Decisión incorrecta",IF(AND('Datos base'!E18="Sí",'Datos base'!N18="No"),"Cita no gold","Revisión normal")))</x:f>
        <x:v>Cita no gold</x:v>
      </x:c>
      <x:c r="N18" s="22" t="str">
        <x:v>Parcial</x:v>
      </x:c>
      <x:c r="O18" s="22" t="str">
        <x:v>Insuficiente</x:v>
      </x:c>
      <x:c r="P18" s="22" t="str">
        <x:v>Parcial</x:v>
      </x:c>
      <x:c r="Q18" s="22" t="str">
        <x:v>Mejorable</x:v>
      </x:c>
      <x:c r="R18" s="22" t="str">
        <x:v>Sí</x:v>
      </x:c>
      <x:c r="S18" s="22" t="str">
        <x:v>Rechazada</x:v>
      </x:c>
      <x:c r="T18" s="22" t="str">
        <x:v>No recuperó el artículo 11 ni respondió las cuatro condiciones del estudiante. Presenta requisitos relacionados y mayormente respaldados, pero F4 se interpreta de forma demasiado amplia.</x:v>
      </x:c>
      <x:c r="U18" s="22" t="str">
        <x:v>Nicole Tatiana Parra Valverde</x:v>
      </x:c>
      <x:c r="V18" s="23" t="n">
        <x:v>46231</x:v>
      </x:c>
      <x:c r="W18" s="20" t="str">
        <x:f>IF(AND(COUNTA(N18:S18)=6,U18&lt;&gt;"",V18&lt;&gt;""),"Sí","No")</x:f>
        <x:v>Sí</x:v>
      </x:c>
    </x:row>
    <x:row r="19" ht="160" customHeight="1">
      <x:c r="A19" s="16" t="str">
        <x:f>'Datos base'!B19</x:f>
        <x:v>q018</x:v>
      </x:c>
      <x:c r="B19" s="16" t="str">
        <x:f>'Datos base'!C19</x:f>
        <x:v>direct</x:v>
      </x:c>
      <x:c r="C19" s="16" t="str">
        <x:f>'Datos base'!D19</x:f>
        <x:v>becas_y_apoyo</x:v>
      </x:c>
      <x:c r="D19" s="21" t="str">
        <x:f>'Datos base'!F19</x:f>
        <x:v>¿Qué gastos cubre la Beca Mauricio Campos y qué exoneración incluye?</x:v>
      </x:c>
      <x:c r="E19" s="21" t="str">
        <x:f>'Datos base'!G19</x:f>
        <x:v>Asigna un monto mensual para alojamiento, alimentación, transporte y material didáctico, y exonera el pago de los créditos estudiantiles matriculados.</x:v>
      </x:c>
      <x:c r="F19" s="21" t="str">
        <x:f>'Datos base'!H19</x:f>
        <x:v>answered</x:v>
      </x:c>
      <x:c r="G19" s="21" t="str">
        <x:f>IF('Datos base'!H19="error",'Datos base'!R19,'Datos base'!I19)</x:f>
        <x:v>La Beca Mauricio Campos cubre los gastos de alojamiento, alimentación, transporte y material didáctico [F1], además exonera del pago de los créditos estudiantiles matriculados [F1]. También consiste en una beca total que cubre la totalidad de los derechos de estudio y hasta el 100 % de otros costos de estudio [F4].</x:v>
      </x:c>
      <x:c r="H19" s="21" t="str">
        <x:f>'Datos base'!J19</x:f>
        <x:v>F1, F4</x:v>
      </x:c>
      <x:c r="I19" s="21" t="str">
        <x:f>'Datos base'!K19</x:f>
        <x:v>tec-beca-mauricio-campos::article-1
tec-becas-prestamos::article-22</x:v>
      </x:c>
      <x:c r="J19" s="21" t="str">
        <x:f>'Datos base'!L19</x:f>
        <x:v>tec-beca-mauricio-campos::article-1</x:v>
      </x:c>
      <x:c r="K19" s="16" t="str">
        <x:f>'Datos base'!M19</x:f>
        <x:v>Sí</x:v>
      </x:c>
      <x:c r="L19" s="16" t="str">
        <x:f>'Datos base'!N19</x:f>
        <x:v>Sí</x:v>
      </x:c>
      <x:c r="M19" s="21" t="str">
        <x:f>IF('Datos base'!P19="Sí","Error estructural",IF('Datos base'!O19="No","Decisión incorrecta",IF(AND('Datos base'!E19="Sí",'Datos base'!N19="No"),"Cita no gold","Revisión normal")))</x:f>
        <x:v>Revisión normal</x:v>
      </x:c>
      <x:c r="N19" s="22" t="str">
        <x:v>Correcta</x:v>
      </x:c>
      <x:c r="O19" s="22" t="str">
        <x:v>Completa</x:v>
      </x:c>
      <x:c r="P19" s="22" t="str">
        <x:v>Total</x:v>
      </x:c>
      <x:c r="Q19" s="22" t="str">
        <x:v>Clara</x:v>
      </x:c>
      <x:c r="R19" s="22" t="str">
        <x:v>Sí</x:v>
      </x:c>
      <x:c r="S19" s="22" t="str">
        <x:v>Aprobada</x:v>
      </x:c>
      <x:c r="T19" s="22" t="str">
        <x:v>Incluye correctamente alojamiento, alimentación, transporte, material didáctico y exoneración de créditos. La información adicional de F4 también está respaldada.</x:v>
      </x:c>
      <x:c r="U19" s="22" t="str">
        <x:v>Nicole Tatiana Parra Valverde</x:v>
      </x:c>
      <x:c r="V19" s="23" t="n">
        <x:v>46231</x:v>
      </x:c>
      <x:c r="W19" s="20" t="str">
        <x:f>IF(AND(COUNTA(N19:S19)=6,U19&lt;&gt;"",V19&lt;&gt;""),"Sí","No")</x:f>
        <x:v>Sí</x:v>
      </x:c>
    </x:row>
    <x:row r="20" ht="160" customHeight="1">
      <x:c r="A20" s="16" t="str">
        <x:f>'Datos base'!B20</x:f>
        <x:v>q019</x:v>
      </x:c>
      <x:c r="B20" s="16" t="str">
        <x:f>'Datos base'!C20</x:f>
        <x:v>direct</x:v>
      </x:c>
      <x:c r="C20" s="16" t="str">
        <x:f>'Datos base'!D20</x:f>
        <x:v>gobierno_estudiantil</x:v>
      </x:c>
      <x:c r="D20" s="21" t="str">
        <x:f>'Datos base'!F20</x:f>
        <x:v>¿A más tardar cuándo debe darse la declaratoria oficial del proceso electoral estudiantil de la FEITEC?</x:v>
      </x:c>
      <x:c r="E20" s="21" t="str">
        <x:f>'Datos base'!G20</x:f>
        <x:v>Debe darse a más tardar en la última semana de abril.</x:v>
      </x:c>
      <x:c r="F20" s="21" t="str">
        <x:f>'Datos base'!H20</x:f>
        <x:v>answered</x:v>
      </x:c>
      <x:c r="G20" s="21" t="str">
        <x:f>IF('Datos base'!H20="error",'Datos base'!R20,'Datos base'!I20)</x:f>
        <x:v>La declaratoria oficial del proceso electoral deberá darse a más tardar la última semana de abril [F1].</x:v>
      </x:c>
      <x:c r="H20" s="21" t="str">
        <x:f>'Datos base'!J20</x:f>
        <x:v>F1</x:v>
      </x:c>
      <x:c r="I20" s="21" t="str">
        <x:f>'Datos base'!K20</x:f>
        <x:v>tec-codigo-electoral-estudiantil::article-11</x:v>
      </x:c>
      <x:c r="J20" s="21" t="str">
        <x:f>'Datos base'!L20</x:f>
        <x:v>tec-codigo-electoral-estudiantil::article-11</x:v>
      </x:c>
      <x:c r="K20" s="16" t="str">
        <x:f>'Datos base'!M20</x:f>
        <x:v>Sí</x:v>
      </x:c>
      <x:c r="L20" s="16" t="str">
        <x:f>'Datos base'!N20</x:f>
        <x:v>Sí</x:v>
      </x:c>
      <x:c r="M20" s="21" t="str">
        <x:f>IF('Datos base'!P20="Sí","Error estructural",IF('Datos base'!O20="No","Decisión incorrecta",IF(AND('Datos base'!E20="Sí",'Datos base'!N20="No"),"Cita no gold","Revisión normal")))</x:f>
        <x:v>Revisión normal</x:v>
      </x:c>
      <x:c r="N20" s="22" t="str">
        <x:v>Correcta</x:v>
      </x:c>
      <x:c r="O20" s="22" t="str">
        <x:v>Completa</x:v>
      </x:c>
      <x:c r="P20" s="22" t="str">
        <x:v>Total</x:v>
      </x:c>
      <x:c r="Q20" s="22" t="str">
        <x:v>Clara</x:v>
      </x:c>
      <x:c r="R20" s="22" t="str">
        <x:v>Sí</x:v>
      </x:c>
      <x:c r="S20" s="22" t="str">
        <x:v>Aprobada</x:v>
      </x:c>
      <x:c r="T20" s="22" t="str">
        <x:v>Responde exactamente que la declaratoria oficial debe darse a más tardar en la última semana de abril, respaldado por F1.</x:v>
      </x:c>
      <x:c r="U20" s="22" t="str">
        <x:v>Nicole Tatiana Parra Valverde</x:v>
      </x:c>
      <x:c r="V20" s="23" t="n">
        <x:v>46231</x:v>
      </x:c>
      <x:c r="W20" s="20" t="str">
        <x:f>IF(AND(COUNTA(N20:S20)=6,U20&lt;&gt;"",V20&lt;&gt;""),"Sí","No")</x:f>
        <x:v>Sí</x:v>
      </x:c>
    </x:row>
    <x:row r="21" ht="160" customHeight="1">
      <x:c r="A21" s="16" t="str">
        <x:f>'Datos base'!B21</x:f>
        <x:v>q020</x:v>
      </x:c>
      <x:c r="B21" s="16" t="str">
        <x:f>'Datos base'!C21</x:f>
        <x:v>direct</x:v>
      </x:c>
      <x:c r="C21" s="16" t="str">
        <x:f>'Datos base'!D21</x:f>
        <x:v>gobierno_estudiantil</x:v>
      </x:c>
      <x:c r="D21" s="21" t="str">
        <x:f>'Datos base'!F21</x:f>
        <x:v>¿Con cuánta anticipación debe el DAE convocar las sesiones ordinarias y extraordinarias del Plenario de Movimiento Estudiantil?</x:v>
      </x:c>
      <x:c r="E21" s="21" t="str">
        <x:f>'Datos base'!G21</x:f>
        <x:v>Debe convocar las sesiones ordinarias con al menos siete días naturales de anticipación y las extraordinarias con al menos tres días naturales.</x:v>
      </x:c>
      <x:c r="F21" s="21" t="str">
        <x:f>'Datos base'!H21</x:f>
        <x:v>answered</x:v>
      </x:c>
      <x:c r="G21" s="21" t="str">
        <x:f>IF('Datos base'!H21="error",'Datos base'!R21,'Datos base'!I21)</x:f>
        <x:v>Para las sesiones ordinarias, la convocatoria debe enviarse con al menos siete días naturales de anticipación [F1]. Para las sesiones extraordinarias, la convocatoria debe enviarse con al menos tres días naturales de anticipación [F1].</x:v>
      </x:c>
      <x:c r="H21" s="21" t="str">
        <x:f>'Datos base'!J21</x:f>
        <x:v>F1</x:v>
      </x:c>
      <x:c r="I21" s="21" t="str">
        <x:f>'Datos base'!K21</x:f>
        <x:v>tec-reglamento-superior-feitec::article-27</x:v>
      </x:c>
      <x:c r="J21" s="21" t="str">
        <x:f>'Datos base'!L21</x:f>
        <x:v>tec-reglamento-superior-feitec::article-27</x:v>
      </x:c>
      <x:c r="K21" s="16" t="str">
        <x:f>'Datos base'!M21</x:f>
        <x:v>Sí</x:v>
      </x:c>
      <x:c r="L21" s="16" t="str">
        <x:f>'Datos base'!N21</x:f>
        <x:v>Sí</x:v>
      </x:c>
      <x:c r="M21" s="21" t="str">
        <x:f>IF('Datos base'!P21="Sí","Error estructural",IF('Datos base'!O21="No","Decisión incorrecta",IF(AND('Datos base'!E21="Sí",'Datos base'!N21="No"),"Cita no gold","Revisión normal")))</x:f>
        <x:v>Revisión normal</x:v>
      </x:c>
      <x:c r="N21" s="22" t="str">
        <x:v>Correcta</x:v>
      </x:c>
      <x:c r="O21" s="22" t="str">
        <x:v>Completa</x:v>
      </x:c>
      <x:c r="P21" s="22" t="str">
        <x:v>Total</x:v>
      </x:c>
      <x:c r="Q21" s="22" t="str">
        <x:v>Clara</x:v>
      </x:c>
      <x:c r="R21" s="22" t="str">
        <x:v>Sí</x:v>
      </x:c>
      <x:c r="S21" s="22" t="str">
        <x:v>Aprobada</x:v>
      </x:c>
      <x:c r="T21" s="22" t="str">
        <x:v>Responde ambos plazos: siete días naturales para sesiones ordinarias y tres para extraordinarias, respaldados por F1.</x:v>
      </x:c>
      <x:c r="U21" s="22" t="str">
        <x:v>Nicole Tatiana Parra Valverde</x:v>
      </x:c>
      <x:c r="V21" s="23" t="n">
        <x:v>46231</x:v>
      </x:c>
      <x:c r="W21" s="20" t="str">
        <x:f>IF(AND(COUNTA(N21:S21)=6,U21&lt;&gt;"",V21&lt;&gt;""),"Sí","No")</x:f>
        <x:v>Sí</x:v>
      </x:c>
    </x:row>
    <x:row r="22" ht="160" customHeight="1">
      <x:c r="A22" s="16" t="str">
        <x:f>'Datos base'!B22</x:f>
        <x:v>q021</x:v>
      </x:c>
      <x:c r="B22" s="16" t="str">
        <x:f>'Datos base'!C22</x:f>
        <x:v>direct</x:v>
      </x:c>
      <x:c r="C22" s="16" t="str">
        <x:f>'Datos base'!D22</x:f>
        <x:v>gobierno_estudiantil</x:v>
      </x:c>
      <x:c r="D22" s="21" t="str">
        <x:f>'Datos base'!F22</x:f>
        <x:v>¿Cada cuánto sesiona ordinariamente el Directorio de Asambleas Estudiantiles y con qué anticipación se convocan sus sesiones?</x:v>
      </x:c>
      <x:c r="E22" s="21" t="str">
        <x:f>'Datos base'!G22</x:f>
        <x:v>Sesiona ordinariamente cada quince días. La convocatoria ordinaria debe enviarse al menos cinco días naturales antes y la extraordinaria veinticuatro horas antes.</x:v>
      </x:c>
      <x:c r="F22" s="21" t="str">
        <x:f>'Datos base'!H22</x:f>
        <x:v>answered</x:v>
      </x:c>
      <x:c r="G22" s="21" t="str">
        <x:f>IF('Datos base'!H22="error",'Datos base'!R22,'Datos base'!I22)</x:f>
        <x:v>El Directorio de Asambleas Estudiantiles (DAE) sesiona cada quince días de manera ordinaria, en donde la convocatoria debe enviarse con al menos 5 días naturales de anticipación [F1].</x:v>
      </x:c>
      <x:c r="H22" s="21" t="str">
        <x:f>'Datos base'!J22</x:f>
        <x:v>F1</x:v>
      </x:c>
      <x:c r="I22" s="21" t="str">
        <x:f>'Datos base'!K22</x:f>
        <x:v>tec-directorio-asambleas-estudiantiles::article-19</x:v>
      </x:c>
      <x:c r="J22" s="21" t="str">
        <x:f>'Datos base'!L22</x:f>
        <x:v>tec-directorio-asambleas-estudiantiles::article-19</x:v>
      </x:c>
      <x:c r="K22" s="16" t="str">
        <x:f>'Datos base'!M22</x:f>
        <x:v>Sí</x:v>
      </x:c>
      <x:c r="L22" s="16" t="str">
        <x:f>'Datos base'!N22</x:f>
        <x:v>Sí</x:v>
      </x:c>
      <x:c r="M22" s="21" t="str">
        <x:f>IF('Datos base'!P22="Sí","Error estructural",IF('Datos base'!O22="No","Decisión incorrecta",IF(AND('Datos base'!E22="Sí",'Datos base'!N22="No"),"Cita no gold","Revisión normal")))</x:f>
        <x:v>Revisión normal</x:v>
      </x:c>
      <x:c r="N22" s="22" t="str">
        <x:v>Correcta</x:v>
      </x:c>
      <x:c r="O22" s="22" t="str">
        <x:v>Parcial</x:v>
      </x:c>
      <x:c r="P22" s="22" t="str">
        <x:v>Total</x:v>
      </x:c>
      <x:c r="Q22" s="22" t="str">
        <x:v>Clara</x:v>
      </x:c>
      <x:c r="R22" s="22" t="str">
        <x:v>Sí</x:v>
      </x:c>
      <x:c r="S22" s="22" t="str">
        <x:v>Revisar</x:v>
      </x:c>
      <x:c r="T22" s="22" t="str">
        <x:v>Responde correctamente la frecuencia ordinaria y los cinco días de anticipación, pero omite que las sesiones extraordinarias deben convocarse veinticuatro horas antes.</x:v>
      </x:c>
      <x:c r="U22" s="22" t="str">
        <x:v>Nicole Tatiana Parra Valverde</x:v>
      </x:c>
      <x:c r="V22" s="23" t="n">
        <x:v>46231</x:v>
      </x:c>
      <x:c r="W22" s="20" t="str">
        <x:f>IF(AND(COUNTA(N22:S22)=6,U22&lt;&gt;"",V22&lt;&gt;""),"Sí","No")</x:f>
        <x:v>Sí</x:v>
      </x:c>
    </x:row>
    <x:row r="23" ht="160" customHeight="1">
      <x:c r="A23" s="16" t="str">
        <x:f>'Datos base'!B23</x:f>
        <x:v>q022</x:v>
      </x:c>
      <x:c r="B23" s="16" t="str">
        <x:f>'Datos base'!C23</x:f>
        <x:v>direct</x:v>
      </x:c>
      <x:c r="C23" s="16" t="str">
        <x:f>'Datos base'!D23</x:f>
        <x:v>comunicación_institucional</x:v>
      </x:c>
      <x:c r="D23" s="21" t="str">
        <x:f>'Datos base'!F23</x:f>
        <x:v>¿Cuándo se considera recibida una comunicación enviada al correo institucional y qué ocurre si se usa un correo particular?</x:v>
      </x:c>
      <x:c r="E23" s="21" t="str">
        <x:f>'Datos base'!G23</x:f>
        <x:v>La comunicación se considera recibida al finalizar el día hábil siguiente a su entrega en el buzón institucional. Si el correo registrado es particular y no institucional, la gestión es nula por carecer de oficialidad.</x:v>
      </x:c>
      <x:c r="F23" s="21" t="str">
        <x:f>'Datos base'!H23</x:f>
        <x:v>answered</x:v>
      </x:c>
      <x:c r="G23" s="21" t="str">
        <x:f>IF('Datos base'!H23="error",'Datos base'!R23,'Datos base'!I23)</x:f>
        <x:v>Una comunicación enviada a una cuenta de correo electrónico institucional se da por recibida al finalizar el día hábil siguiente a su entrega en el buzón [F2]. Si se utiliza un correo registrado que es particular y no institucional, dicha comunicación será nula de pleno por carecer de oficialidad [F2].</x:v>
      </x:c>
      <x:c r="H23" s="21" t="str">
        <x:f>'Datos base'!J23</x:f>
        <x:v>F2</x:v>
      </x:c>
      <x:c r="I23" s="21" t="str">
        <x:f>'Datos base'!K23</x:f>
        <x:v>tec-correo-electronico::article-5</x:v>
      </x:c>
      <x:c r="J23" s="21" t="str">
        <x:f>'Datos base'!L23</x:f>
        <x:v>tec-correo-electronico::article-5</x:v>
      </x:c>
      <x:c r="K23" s="16" t="str">
        <x:f>'Datos base'!M23</x:f>
        <x:v>Sí</x:v>
      </x:c>
      <x:c r="L23" s="16" t="str">
        <x:f>'Datos base'!N23</x:f>
        <x:v>Sí</x:v>
      </x:c>
      <x:c r="M23" s="21" t="str">
        <x:f>IF('Datos base'!P23="Sí","Error estructural",IF('Datos base'!O23="No","Decisión incorrecta",IF(AND('Datos base'!E23="Sí",'Datos base'!N23="No"),"Cita no gold","Revisión normal")))</x:f>
        <x:v>Revisión normal</x:v>
      </x:c>
      <x:c r="N23" s="22" t="str">
        <x:v>Correcta</x:v>
      </x:c>
      <x:c r="O23" s="22" t="str">
        <x:v>Completa</x:v>
      </x:c>
      <x:c r="P23" s="22" t="str">
        <x:v>Total</x:v>
      </x:c>
      <x:c r="Q23" s="22" t="str">
        <x:v>Clara</x:v>
      </x:c>
      <x:c r="R23" s="22" t="str">
        <x:v>Sí</x:v>
      </x:c>
      <x:c r="S23" s="22" t="str">
        <x:v>Aprobada</x:v>
      </x:c>
      <x:c r="T23" s="22" t="str">
        <x:v>Responde correctamente cuándo se considera recibida la comunicación y la nulidad de utilizar un correo particular, respaldado por F2.</x:v>
      </x:c>
      <x:c r="U23" s="22" t="str">
        <x:v>Nicole Tatiana Parra Valverde</x:v>
      </x:c>
      <x:c r="V23" s="23" t="n">
        <x:v>46231</x:v>
      </x:c>
      <x:c r="W23" s="20" t="str">
        <x:f>IF(AND(COUNTA(N23:S23)=6,U23&lt;&gt;"",V23&lt;&gt;""),"Sí","No")</x:f>
        <x:v>Sí</x:v>
      </x:c>
    </x:row>
    <x:row r="24" ht="160" customHeight="1">
      <x:c r="A24" s="16" t="str">
        <x:f>'Datos base'!B24</x:f>
        <x:v>q023</x:v>
      </x:c>
      <x:c r="B24" s="16" t="str">
        <x:f>'Datos base'!C24</x:f>
        <x:v>direct</x:v>
      </x:c>
      <x:c r="C24" s="16" t="str">
        <x:f>'Datos base'!D24</x:f>
        <x:v>derechos_y_convivencia</x:v>
      </x:c>
      <x:c r="D24" s="21" t="str">
        <x:f>'Datos base'!F24</x:f>
        <x:v>¿Ante cuál instancia y en qué forma debe presentarse una denuncia por hostigamiento sexual?</x:v>
      </x:c>
      <x:c r="E24" s="21" t="str">
        <x:f>'Datos base'!G24</x:f>
        <x:v>Debe presentarse ante la Fiscalía contra el Hostigamiento Sexual, en forma escrita, con la identificación de las partes, una descripción precisa de los hechos, fechas, posibles testigos, pruebas, un medio para notificaciones, fecha y firmas correspondientes.</x:v>
      </x:c>
      <x:c r="F24" s="21" t="str">
        <x:f>'Datos base'!H24</x:f>
        <x:v>answered</x:v>
      </x:c>
      <x:c r="G24" s="21" t="str">
        <x:f>IF('Datos base'!H24="error",'Datos base'!R24,'Datos base'!I24)</x:f>
        <x:v>La denuncia debe interponerse ante la Fiscalía contra el Hostigamiento Sexual [F3]. Debe presentarse en forma escrita e indicar: nombre completo, número de cédula y dependencia del denunciante; nombre, número de cédula y dependencia de la persona denunciada; lugar y descripción precisa de los hechos ocurridos; fechas de inicio y último hecho; nombres de testigos; cualquier prueba indiciaria o directa que sirva para comprobar los hechos; una dirección física dentro del perímetro del ITCR (o un kilómetro a la redonda), número de Fax, correo electrónico u oficina donde recibir notificaciones; fecha y firma en el acta por parte de la persona denunciante y de la persona Fiscal [F3].</x:v>
      </x:c>
      <x:c r="H24" s="21" t="str">
        <x:f>'Datos base'!J24</x:f>
        <x:v>F3</x:v>
      </x:c>
      <x:c r="I24" s="21" t="str">
        <x:f>'Datos base'!K24</x:f>
        <x:v>tec-hostigamiento-sexual::article-27</x:v>
      </x:c>
      <x:c r="J24" s="21" t="str">
        <x:f>'Datos base'!L24</x:f>
        <x:v>tec-hostigamiento-sexual::article-27</x:v>
      </x:c>
      <x:c r="K24" s="16" t="str">
        <x:f>'Datos base'!M24</x:f>
        <x:v>Sí</x:v>
      </x:c>
      <x:c r="L24" s="16" t="str">
        <x:f>'Datos base'!N24</x:f>
        <x:v>Sí</x:v>
      </x:c>
      <x:c r="M24" s="21" t="str">
        <x:f>IF('Datos base'!P24="Sí","Error estructural",IF('Datos base'!O24="No","Decisión incorrecta",IF(AND('Datos base'!E24="Sí",'Datos base'!N24="No"),"Cita no gold","Revisión normal")))</x:f>
        <x:v>Revisión normal</x:v>
      </x:c>
      <x:c r="N24" s="22" t="str">
        <x:v>Correcta</x:v>
      </x:c>
      <x:c r="O24" s="22" t="str">
        <x:v>Completa</x:v>
      </x:c>
      <x:c r="P24" s="22" t="str">
        <x:v>Total</x:v>
      </x:c>
      <x:c r="Q24" s="22" t="str">
        <x:v>Clara</x:v>
      </x:c>
      <x:c r="R24" s="22" t="str">
        <x:v>Sí</x:v>
      </x:c>
      <x:c r="S24" s="22" t="str">
        <x:v>Aprobada</x:v>
      </x:c>
      <x:c r="T24" s="22" t="str">
        <x:v>Identifica correctamente la Fiscalía, la presentación escrita y los datos, pruebas, notificaciones y firmas requeridos, respaldado por F3.</x:v>
      </x:c>
      <x:c r="U24" s="22" t="str">
        <x:v>Nicole Tatiana Parra Valverde</x:v>
      </x:c>
      <x:c r="V24" s="23" t="n">
        <x:v>46231</x:v>
      </x:c>
      <x:c r="W24" s="20" t="str">
        <x:f>IF(AND(COUNTA(N24:S24)=6,U24&lt;&gt;"",V24&lt;&gt;""),"Sí","No")</x:f>
        <x:v>Sí</x:v>
      </x:c>
    </x:row>
    <x:row r="25" ht="160" customHeight="1">
      <x:c r="A25" s="16" t="str">
        <x:f>'Datos base'!B25</x:f>
        <x:v>q024</x:v>
      </x:c>
      <x:c r="B25" s="16" t="str">
        <x:f>'Datos base'!C25</x:f>
        <x:v>direct</x:v>
      </x:c>
      <x:c r="C25" s="16" t="str">
        <x:f>'Datos base'!D25</x:f>
        <x:v>derechos_y_convivencia</x:v>
      </x:c>
      <x:c r="D25" s="21" t="str">
        <x:f>'Datos base'!F25</x:f>
        <x:v>¿Cómo puede presentarse una denuncia por discriminación por orientación sexual, identidad o expresión de género?</x:v>
      </x:c>
      <x:c r="E25" s="21" t="str">
        <x:f>'Datos base'!G25</x:f>
        <x:v>Se presenta ante la Fiscalía contra la discriminación por orientación sexual, identidad y expresión de género. Puede entregarse presencialmente o firmarse digitalmente cuando corresponda, y debe llevar las firmas de la persona denunciante y de quien la recibe, además de la información requerida.</x:v>
      </x:c>
      <x:c r="F25" s="21" t="str">
        <x:f>'Datos base'!H25</x:f>
        <x:v>answered</x:v>
      </x:c>
      <x:c r="G25" s="21" t="str">
        <x:f>IF('Datos base'!H25="error",'Datos base'!R25,'Datos base'!I25)</x:f>
        <x:v>La denuncia se presenta ante la Fiscalía contra la discriminación por orientación sexual, identidad y expresión de género. Puede ser presencialmente o firmada digitalmente si el caso lo amerita [F1]. Debe estar firmada tanto por quien interpone la denuncia como por quien recibe la misma [F1], e incluir datos específicos del denunciante, denunciado, relación entre partes, descripción detallada de los hechos con fecha y lugar, pruebas disponibles, testigos potenciales, solicitud de medidas cautelares si corresponde, dirección para notificaciones y firmas correspondientes [F1].</x:v>
      </x:c>
      <x:c r="H25" s="21" t="str">
        <x:f>'Datos base'!J25</x:f>
        <x:v>F1</x:v>
      </x:c>
      <x:c r="I25" s="21" t="str">
        <x:f>'Datos base'!K25</x:f>
        <x:v>tec-no-discriminacion::article-30</x:v>
      </x:c>
      <x:c r="J25" s="21" t="str">
        <x:f>'Datos base'!L25</x:f>
        <x:v>tec-no-discriminacion::article-30</x:v>
      </x:c>
      <x:c r="K25" s="16" t="str">
        <x:f>'Datos base'!M25</x:f>
        <x:v>Sí</x:v>
      </x:c>
      <x:c r="L25" s="16" t="str">
        <x:f>'Datos base'!N25</x:f>
        <x:v>Sí</x:v>
      </x:c>
      <x:c r="M25" s="21" t="str">
        <x:f>IF('Datos base'!P25="Sí","Error estructural",IF('Datos base'!O25="No","Decisión incorrecta",IF(AND('Datos base'!E25="Sí",'Datos base'!N25="No"),"Cita no gold","Revisión normal")))</x:f>
        <x:v>Revisión normal</x:v>
      </x:c>
      <x:c r="N25" s="22" t="str">
        <x:v>Correcta</x:v>
      </x:c>
      <x:c r="O25" s="22" t="str">
        <x:v>Completa</x:v>
      </x:c>
      <x:c r="P25" s="22" t="str">
        <x:v>Total</x:v>
      </x:c>
      <x:c r="Q25" s="22" t="str">
        <x:v>Clara</x:v>
      </x:c>
      <x:c r="R25" s="22" t="str">
        <x:v>Sí</x:v>
      </x:c>
      <x:c r="S25" s="22" t="str">
        <x:v>Aprobada</x:v>
      </x:c>
      <x:c r="T25" s="22" t="str">
        <x:v>Responde correctamente la instancia, las modalidades presencial o digital, las firmas y la información requerida, respaldado por F1.</x:v>
      </x:c>
      <x:c r="U25" s="22" t="str">
        <x:v>Nicole Tatiana Parra Valverde</x:v>
      </x:c>
      <x:c r="V25" s="23" t="n">
        <x:v>46231</x:v>
      </x:c>
      <x:c r="W25" s="20" t="str">
        <x:f>IF(AND(COUNTA(N25:S25)=6,U25&lt;&gt;"",V25&lt;&gt;""),"Sí","No")</x:f>
        <x:v>Sí</x:v>
      </x:c>
    </x:row>
    <x:row r="26" ht="160" customHeight="1">
      <x:c r="A26" s="16" t="str">
        <x:f>'Datos base'!B26</x:f>
        <x:v>q025</x:v>
      </x:c>
      <x:c r="B26" s="16" t="str">
        <x:f>'Datos base'!C26</x:f>
        <x:v>direct</x:v>
      </x:c>
      <x:c r="C26" s="16" t="str">
        <x:f>'Datos base'!D26</x:f>
        <x:v>gobierno_estudiantil</x:v>
      </x:c>
      <x:c r="D26" s="21" t="str">
        <x:f>'Datos base'!F26</x:f>
        <x:v>¿Cómo se realiza la votación para elegir al tercer representante estudiantil ante el Consejo Institucional?</x:v>
      </x:c>
      <x:c r="E26" s="21" t="str">
        <x:f>'Datos base'!G26</x:f>
        <x:v>La votación se realiza mediante sufragio universal y público.</x:v>
      </x:c>
      <x:c r="F26" s="21" t="str">
        <x:f>'Datos base'!H26</x:f>
        <x:v>error</x:v>
      </x:c>
      <x:c r="G26" s="21" t="str">
        <x:f>IF('Datos base'!H26="error",'Datos base'!R26,'Datos base'!I26)</x:f>
        <x:v>{"status": "answered", "answer": "La votación para elegir al Tercer Representante Estudiantil ante el Consejo Institucional se realiza por medio del sufragio universal y público [F4]. En caso de existir más de un candidato, quien obtenga el segundo lugar pasará a ser el suplente [F3]. La elección debe regirse según lo establecido en el Reglamento para la Elección del Tercer Representante y Tercer Suplente Estudiantil ante el Consejo Institucional [F2], cumpliendo además con los requisitos estipulados en sus artículos 14 y 15 (para el suplente) [F1].", "citations": ["F3", "F4"]}</x:v>
      </x:c>
      <x:c r="H26" s="21" t="str">
        <x:f>'Datos base'!J26</x:f>
        <x:v>F3, F4</x:v>
      </x:c>
      <x:c r="I26" s="21" t="str">
        <x:f>'Datos base'!K26</x:f>
        <x:v>tec-tercer-representante-estudiantil::article-25
tec-tercer-representante-estudiantil::article-18</x:v>
      </x:c>
      <x:c r="J26" s="21" t="str">
        <x:f>'Datos base'!L26</x:f>
        <x:v>tec-tercer-representante-estudiantil::article-18</x:v>
      </x:c>
      <x:c r="K26" s="16" t="str">
        <x:f>'Datos base'!M26</x:f>
        <x:v>Sí</x:v>
      </x:c>
      <x:c r="L26" s="16" t="str">
        <x:f>'Datos base'!N26</x:f>
        <x:v>No</x:v>
      </x:c>
      <x:c r="M26" s="21" t="str">
        <x:f>IF('Datos base'!P26="Sí","Error estructural",IF('Datos base'!O26="No","Decisión incorrecta",IF(AND('Datos base'!E26="Sí",'Datos base'!N26="No"),"Cita no gold","Revisión normal")))</x:f>
        <x:v>Error estructural</x:v>
      </x:c>
      <x:c r="N26" s="22" t="str">
        <x:v>Correcta</x:v>
      </x:c>
      <x:c r="O26" s="22" t="str">
        <x:v>Completa</x:v>
      </x:c>
      <x:c r="P26" s="22" t="str">
        <x:v>Total</x:v>
      </x:c>
      <x:c r="Q26" s="22" t="str">
        <x:v>Clara</x:v>
      </x:c>
      <x:c r="R26" s="22" t="str">
        <x:v>Sí</x:v>
      </x:c>
      <x:c r="S26" s="22" t="str">
        <x:v>Rechazada</x:v>
      </x:c>
      <x:c r="T26" s="22" t="str">
        <x:v>El contenido responde correctamente que la votación es por sufragio universal y público y los detalles añadidos están respaldados. Se rechaza la salida porque las citas visibles F1-F4 no coinciden con el campo estructurado, que declara solo F3 y F4.</x:v>
      </x:c>
      <x:c r="U26" s="22" t="str">
        <x:v>Nicole Tatiana Parra Valverde</x:v>
      </x:c>
      <x:c r="V26" s="23" t="n">
        <x:v>46231</x:v>
      </x:c>
      <x:c r="W26" s="20" t="str">
        <x:f>IF(AND(COUNTA(N26:S26)=6,U26&lt;&gt;"",V26&lt;&gt;""),"Sí","No")</x:f>
        <x:v>Sí</x:v>
      </x:c>
    </x:row>
    <x:row r="27" ht="160" customHeight="1">
      <x:c r="A27" s="16" t="str">
        <x:f>'Datos base'!B27</x:f>
        <x:v>q026</x:v>
      </x:c>
      <x:c r="B27" s="16" t="str">
        <x:f>'Datos base'!C27</x:f>
        <x:v>multi_section</x:v>
      </x:c>
      <x:c r="C27" s="16" t="str">
        <x:f>'Datos base'!D27</x:f>
        <x:v>admisión_y_graduación</x:v>
      </x:c>
      <x:c r="D27" s="21" t="str">
        <x:f>'Datos base'!F27</x:f>
        <x:v>¿Cómo se solicita un cambio de carrera, qué requisito académico se exige y qué criterio se usa para asignar los cupos?</x:v>
      </x:c>
      <x:c r="E27" s="21" t="str">
        <x:f>'Datos base'!G27</x:f>
        <x:v>La solicitud debe presentarse por escrito al Departamento de Admisión y Registro durante el periodo fijado en el Calendario Institucional y Académico. La persona debe haber cursado y aprobado seis créditos de su plan actual. Los cupos se asignan según el promedio ponderado de las materias del último periodo; cada carrera admite por esta vía hasta un 5 % de su cupo inicial, salvo que existan cupos para aumentar el porcentaje.</x:v>
      </x:c>
      <x:c r="F27" s="21" t="str">
        <x:f>'Datos base'!H27</x:f>
        <x:v>answered</x:v>
      </x:c>
      <x:c r="G27" s="21" t="str">
        <x:f>IF('Datos base'!H27="error",'Datos base'!R27,'Datos base'!I27)</x:f>
        <x:v>Para solicitar el cambio de carrera, la persona estudiante debe hacerlo por escrito al Departamento de Admisión y Registro dentro del período señalado en el Calendario Institucional y Académico [F1]. El requisito académico exigido es haber cursado y aprobado seis créditos del plan de estudios actualizado [F3], utilizando como criterio de selección el promedio ponderado de calificaciones de todas las materias cursadas en el último periodo [F3]. Los cupos para cambio se asignan con un límite máximo inicial del 5% del cupo inicial de la carrera, pudiendo incrementarse si existen cupos disponibles [F1].</x:v>
      </x:c>
      <x:c r="H27" s="21" t="str">
        <x:f>'Datos base'!J27</x:f>
        <x:v>F1, F3</x:v>
      </x:c>
      <x:c r="I27" s="21" t="str">
        <x:f>'Datos base'!K27</x:f>
        <x:v>tec-admision-grado::article-38
tec-admision-grado::article-39</x:v>
      </x:c>
      <x:c r="J27" s="21" t="str">
        <x:f>'Datos base'!L27</x:f>
        <x:v>tec-admision-grado::article-38
tec-admision-grado::article-39</x:v>
      </x:c>
      <x:c r="K27" s="16" t="str">
        <x:f>'Datos base'!M27</x:f>
        <x:v>Sí</x:v>
      </x:c>
      <x:c r="L27" s="16" t="str">
        <x:f>'Datos base'!N27</x:f>
        <x:v>Sí</x:v>
      </x:c>
      <x:c r="M27" s="21" t="str">
        <x:f>IF('Datos base'!P27="Sí","Error estructural",IF('Datos base'!O27="No","Decisión incorrecta",IF(AND('Datos base'!E27="Sí",'Datos base'!N27="No"),"Cita no gold","Revisión normal")))</x:f>
        <x:v>Revisión normal</x:v>
      </x:c>
      <x:c r="N27" s="22" t="str">
        <x:v>Correcta</x:v>
      </x:c>
      <x:c r="O27" s="22" t="str">
        <x:v>Completa</x:v>
      </x:c>
      <x:c r="P27" s="22" t="str">
        <x:v>Total</x:v>
      </x:c>
      <x:c r="Q27" s="22" t="str">
        <x:v>Clara</x:v>
      </x:c>
      <x:c r="R27" s="22" t="str">
        <x:v>Sí</x:v>
      </x:c>
      <x:c r="S27" s="22" t="str">
        <x:v>Aprobada</x:v>
      </x:c>
      <x:c r="T27" s="22" t="str">
        <x:v>Combina correctamente solicitud escrita, periodo, seis créditos, promedio ponderado y límite inicial del 5 %, utilizando las dos fuentes gold.</x:v>
      </x:c>
      <x:c r="U27" s="22" t="str">
        <x:v>Nicole Tatiana Parra Valverde</x:v>
      </x:c>
      <x:c r="V27" s="23" t="n">
        <x:v>46231</x:v>
      </x:c>
      <x:c r="W27" s="20" t="str">
        <x:f>IF(AND(COUNTA(N27:S27)=6,U27&lt;&gt;"",V27&lt;&gt;""),"Sí","No")</x:f>
        <x:v>Sí</x:v>
      </x:c>
    </x:row>
    <x:row r="28" ht="160" customHeight="1">
      <x:c r="A28" s="16" t="str">
        <x:f>'Datos base'!B28</x:f>
        <x:v>q027</x:v>
      </x:c>
      <x:c r="B28" s="16" t="str">
        <x:f>'Datos base'!C28</x:f>
        <x:v>multi_section</x:v>
      </x:c>
      <x:c r="C28" s="16" t="str">
        <x:f>'Datos base'!D28</x:f>
        <x:v>admisión_y_graduación</x:v>
      </x:c>
      <x:c r="D28" s="21" t="str">
        <x:f>'Datos base'!F28</x:f>
        <x:v>¿Qué condiciones académicas y disciplinarias debe cumplir una persona de grado para obtener graduación de honor?</x:v>
      </x:c>
      <x:c r="E28" s="21" t="str">
        <x:f>'Datos base'!G28</x:f>
        <x:v>Debe haberse distinguido permanentemente en su actividad académica, no haber reprobado ninguna asignatura, no haber recibido sanciones disciplinarias y alcanzar un promedio final ponderado igual o superior a 90, incluyendo las asignaturas aprobadas por suficiencia.</x:v>
      </x:c>
      <x:c r="F28" s="21" t="str">
        <x:f>'Datos base'!H28</x:f>
        <x:v>answered</x:v>
      </x:c>
      <x:c r="G28" s="21" t="str">
        <x:f>IF('Datos base'!H28="error",'Datos base'!R28,'Datos base'!I28)</x:f>
        <x:v>Para obtener la distinción en programas de grado, el estudiante no puede haber reprobado ninguna asignatura del plan de estudios [F1], no debe tener sanciones disciplinarias durante toda su permanencia en la institución [F1] y debe contar con un promedio final ponderado igual o superior a 90 (incluyendo las aprobadas por suficiencia) [F2].</x:v>
      </x:c>
      <x:c r="H28" s="21" t="str">
        <x:f>'Datos base'!J28</x:f>
        <x:v>F1, F2</x:v>
      </x:c>
      <x:c r="I28" s="21" t="str">
        <x:f>'Datos base'!K28</x:f>
        <x:v>tec-graduacion::article-7-bis
tec-graduacion::article-7-ter</x:v>
      </x:c>
      <x:c r="J28" s="21" t="str">
        <x:f>'Datos base'!L28</x:f>
        <x:v>tec-graduacion::article-7-bis
tec-graduacion::article-7-ter</x:v>
      </x:c>
      <x:c r="K28" s="16" t="str">
        <x:f>'Datos base'!M28</x:f>
        <x:v>Sí</x:v>
      </x:c>
      <x:c r="L28" s="16" t="str">
        <x:f>'Datos base'!N28</x:f>
        <x:v>Sí</x:v>
      </x:c>
      <x:c r="M28" s="21" t="str">
        <x:f>IF('Datos base'!P28="Sí","Error estructural",IF('Datos base'!O28="No","Decisión incorrecta",IF(AND('Datos base'!E28="Sí",'Datos base'!N28="No"),"Cita no gold","Revisión normal")))</x:f>
        <x:v>Revisión normal</x:v>
      </x:c>
      <x:c r="N28" s="22" t="str">
        <x:v>Correcta</x:v>
      </x:c>
      <x:c r="O28" s="22" t="str">
        <x:v>Completa</x:v>
      </x:c>
      <x:c r="P28" s="22" t="str">
        <x:v>Total</x:v>
      </x:c>
      <x:c r="Q28" s="22" t="str">
        <x:v>Clara</x:v>
      </x:c>
      <x:c r="R28" s="22" t="str">
        <x:v>Sí</x:v>
      </x:c>
      <x:c r="S28" s="22" t="str">
        <x:v>Aprobada</x:v>
      </x:c>
      <x:c r="T28" s="22" t="str">
        <x:v>Incluye los requisitos operativos: no reprobar asignaturas, no recibir sanciones y promedio igual o superior a 90 con asignaturas por suficiencia.</x:v>
      </x:c>
      <x:c r="U28" s="22" t="str">
        <x:v>Nicole Tatiana Parra Valverde</x:v>
      </x:c>
      <x:c r="V28" s="23" t="n">
        <x:v>46231</x:v>
      </x:c>
      <x:c r="W28" s="20" t="str">
        <x:f>IF(AND(COUNTA(N28:S28)=6,U28&lt;&gt;"",V28&lt;&gt;""),"Sí","No")</x:f>
        <x:v>Sí</x:v>
      </x:c>
    </x:row>
    <x:row r="29" ht="160" customHeight="1">
      <x:c r="A29" s="16" t="str">
        <x:f>'Datos base'!B29</x:f>
        <x:v>q028</x:v>
      </x:c>
      <x:c r="B29" s="16" t="str">
        <x:f>'Datos base'!C29</x:f>
        <x:v>multi_section</x:v>
      </x:c>
      <x:c r="C29" s="16" t="str">
        <x:f>'Datos base'!D29</x:f>
        <x:v>becas_y_apoyo</x:v>
      </x:c>
      <x:c r="D29" s="21" t="str">
        <x:f>'Datos base'!F29</x:f>
        <x:v>¿Cómo cambian los límites de horas semanales entre un estudiante asistente, un asistente especial y un asistente de investigación o extensión?</x:v>
      </x:c>
      <x:c r="E29" s="21" t="str">
        <x:f>'Datos base'!G29</x:f>
        <x:v>El estudiante asistente tiene un rango de cinco a diez horas semanales; el asistente especial, de diez a veinte; y el asistente de investigación o extensión tiene un máximo de veinte. En este último caso, puede llegar a cuarenta horas si cursa un Trabajo Final de Graduación vinculado a un proyecto inscrito en la VIE.</x:v>
      </x:c>
      <x:c r="F29" s="21" t="str">
        <x:f>'Datos base'!H29</x:f>
        <x:v>error</x:v>
      </x:c>
      <x:c r="G29" s="21" t="str">
        <x:f>IF('Datos base'!H29="error",'Datos base'!R29,'Datos base'!I29)</x:f>
        <x:v>{"status": "answered", "answer": "Los estudiantes asistentes especiales pueden dedicar entre 10 y 20 horas por semana [F5]. Los estudiantes que participan como Estudiantes Asistentes para Proyectos de Investigación y Extensión (no asistente especial) pueden dedicarse hasta un máximo de 40 horas semanalmente, con una excepción general de 20 horas máximas; los investigadores responsables establecen las especificaciones particulares [F3]. El reglamento sobre asignación de horas establece que el mínimo es de cinco y el máximo de diez horas semanales para ciertos conceptos de asistencia en la oficina o fuera de ella [F4], mientras que otro documento indica un horario específico por proyecto con alcances definidos por el responsable del mismo [F1].", "citations": ["F5", "F3", "F4"]}</x:v>
      </x:c>
      <x:c r="H29" s="21" t="str">
        <x:f>'Datos base'!J29</x:f>
        <x:v>F5, F3, F4</x:v>
      </x:c>
      <x:c r="I29" s="21" t="str">
        <x:f>'Datos base'!K29</x:f>
        <x:v>tec-beca-asistente-especial::article-12
tec-beca-asistente-investigacion::article-11
tec-horas-estudiante-asistente::article-13</x:v>
      </x:c>
      <x:c r="J29" s="21" t="str">
        <x:f>'Datos base'!L29</x:f>
        <x:v>tec-horas-estudiante-asistente::article-13
tec-beca-asistente-especial::article-12
tec-beca-asistente-investigacion::article-11</x:v>
      </x:c>
      <x:c r="K29" s="16" t="str">
        <x:f>'Datos base'!M29</x:f>
        <x:v>Sí</x:v>
      </x:c>
      <x:c r="L29" s="16" t="str">
        <x:f>'Datos base'!N29</x:f>
        <x:v>No</x:v>
      </x:c>
      <x:c r="M29" s="21" t="str">
        <x:f>IF('Datos base'!P29="Sí","Error estructural",IF('Datos base'!O29="No","Decisión incorrecta",IF(AND('Datos base'!E29="Sí",'Datos base'!N29="No"),"Cita no gold","Revisión normal")))</x:f>
        <x:v>Error estructural</x:v>
      </x:c>
      <x:c r="N29" s="22" t="str">
        <x:v>Parcial</x:v>
      </x:c>
      <x:c r="O29" s="22" t="str">
        <x:v>Completa</x:v>
      </x:c>
      <x:c r="P29" s="22" t="str">
        <x:v>Parcial</x:v>
      </x:c>
      <x:c r="Q29" s="22" t="str">
        <x:v>Confusa</x:v>
      </x:c>
      <x:c r="R29" s="22" t="str">
        <x:v>Sí</x:v>
      </x:c>
      <x:c r="S29" s="22" t="str">
        <x:v>Rechazada</x:v>
      </x:c>
      <x:c r="T29" s="22" t="str">
        <x:v>Presenta correctamente los rangos de cinco a diez y de diez a veinte horas, pero invierte la regla de investigación: el máximo ordinario es veinte y la excepción es cuarenta. Además, las citas visibles y estructuradas no coinciden.</x:v>
      </x:c>
      <x:c r="U29" s="22" t="str">
        <x:v>Nicole Tatiana Parra Valverde</x:v>
      </x:c>
      <x:c r="V29" s="23" t="n">
        <x:v>46231</x:v>
      </x:c>
      <x:c r="W29" s="20" t="str">
        <x:f>IF(AND(COUNTA(N29:S29)=6,U29&lt;&gt;"",V29&lt;&gt;""),"Sí","No")</x:f>
        <x:v>Sí</x:v>
      </x:c>
    </x:row>
    <x:row r="30" ht="160" customHeight="1">
      <x:c r="A30" s="16" t="str">
        <x:f>'Datos base'!B30</x:f>
        <x:v>q029</x:v>
      </x:c>
      <x:c r="B30" s="16" t="str">
        <x:f>'Datos base'!C30</x:f>
        <x:v>multi_section</x:v>
      </x:c>
      <x:c r="C30" s="16" t="str">
        <x:f>'Datos base'!D30</x:f>
        <x:v>comunicación_institucional</x:v>
      </x:c>
      <x:c r="D30" s="21" t="str">
        <x:f>'Datos base'!F30</x:f>
        <x:v>Si una persona estudiante solicita por correo la reposición de una evaluación, ¿qué plazo tiene, qué cuenta debe usar y cuándo se considera recibida la solicitud?</x:v>
      </x:c>
      <x:c r="E30" s="21" t="str">
        <x:f>'Datos base'!G30</x:f>
        <x:v>Debe enviarla dentro de los tres días hábiles siguientes a la evaluación y usar su cuenta oficial institucional. La comunicación se considera recibida al finalizar el día hábil siguiente a su entrega en el buzón institucional; usar un correo particular carece de oficialidad.</x:v>
      </x:c>
      <x:c r="F30" s="21" t="str">
        <x:f>'Datos base'!H30</x:f>
        <x:v>not_found</x:v>
      </x:c>
      <x:c r="G30" s="21" t="str">
        <x:f>IF('Datos base'!H30="error",'Datos base'!R30,'Datos base'!I30)</x:f>
        <x:v>No encontrado en el contexto.</x:v>
      </x:c>
      <x:c r="H30" s="21" t="n">
        <x:f>'Datos base'!J30</x:f>
        <x:v>0</x:v>
      </x:c>
      <x:c r="I30" s="21" t="n">
        <x:f>'Datos base'!K30</x:f>
        <x:v>0</x:v>
      </x:c>
      <x:c r="J30" s="21" t="str">
        <x:f>'Datos base'!L30</x:f>
        <x:v>tec-rrea-2025::article-66
tec-correo-electronico::article-5</x:v>
      </x:c>
      <x:c r="K30" s="16" t="str">
        <x:f>'Datos base'!M30</x:f>
        <x:v>Sí</x:v>
      </x:c>
      <x:c r="L30" s="16" t="str">
        <x:f>'Datos base'!N30</x:f>
        <x:v>No</x:v>
      </x:c>
      <x:c r="M30" s="21" t="str">
        <x:f>IF('Datos base'!P30="Sí","Error estructural",IF('Datos base'!O30="No","Decisión incorrecta",IF(AND('Datos base'!E30="Sí",'Datos base'!N30="No"),"Cita no gold","Revisión normal")))</x:f>
        <x:v>Decisión incorrecta</x:v>
      </x:c>
      <x:c r="N30" s="22" t="str">
        <x:v>Incorrecta</x:v>
      </x:c>
      <x:c r="O30" s="22" t="str">
        <x:v>Insuficiente</x:v>
      </x:c>
      <x:c r="P30" s="22" t="str">
        <x:v>No aplica</x:v>
      </x:c>
      <x:c r="Q30" s="22" t="str">
        <x:v>Clara</x:v>
      </x:c>
      <x:c r="R30" s="22" t="str">
        <x:v>Sí</x:v>
      </x:c>
      <x:c r="S30" s="22" t="str">
        <x:v>Rechazada</x:v>
      </x:c>
      <x:c r="T30" s="22" t="str">
        <x:v>El sistema se abstuvo. Recuperó un fragmento del artículo 66, pero no la parte que contiene el plazo y el correo, y tampoco recuperó el artículo 5. Es un fallo de recuperación a nivel de fragmento.</x:v>
      </x:c>
      <x:c r="U30" s="22" t="str">
        <x:v>Nicole Tatiana Parra Valverde</x:v>
      </x:c>
      <x:c r="V30" s="23" t="n">
        <x:v>46231</x:v>
      </x:c>
      <x:c r="W30" s="20" t="str">
        <x:f>IF(AND(COUNTA(N30:S30)=6,U30&lt;&gt;"",V30&lt;&gt;""),"Sí","No")</x:f>
        <x:v>Sí</x:v>
      </x:c>
    </x:row>
    <x:row r="31" ht="160" customHeight="1">
      <x:c r="A31" s="16" t="str">
        <x:f>'Datos base'!B31</x:f>
        <x:v>q030</x:v>
      </x:c>
      <x:c r="B31" s="16" t="str">
        <x:f>'Datos base'!C31</x:f>
        <x:v>multi_section</x:v>
      </x:c>
      <x:c r="C31" s="16" t="str">
        <x:f>'Datos base'!D31</x:f>
        <x:v>admisión_y_graduación</x:v>
      </x:c>
      <x:c r="D31" s="21" t="str">
        <x:f>'Datos base'!F31</x:f>
        <x:v>¿Cuáles de los documentos requeridos para reconocer o equiparar un título extranjero deben traducirse y autenticarse?</x:v>
      </x:c>
      <x:c r="E31" s="21" t="str">
        <x:f>'Datos base'!G31</x:f>
        <x:v>Deben traducirse al español y autenticarse los originales del diploma o documento equivalente, la certificación oficial de calificaciones y la certificación o constancia de que la institución está autorizada para emitir el diploma y de que el título y grado habilitan legalmente a la persona solicitante.</x:v>
      </x:c>
      <x:c r="F31" s="21" t="str">
        <x:f>'Datos base'!H31</x:f>
        <x:v>answered</x:v>
      </x:c>
      <x:c r="G31" s="21" t="str">
        <x:f>IF('Datos base'!H31="error",'Datos base'!R31,'Datos base'!I31)</x:f>
        <x:v>Los documentos que requieren traducción al español son aquellos emitidos en otro idioma, específicamente si no se ha estipulado en el convenio de movilidad un idioma distinto [F3]. Los títulos extranjeros deben estar autenticados; la secuencia incluye firma de la Oficina Legal de la universidad extranjera, aval gubernamental del país de origen (si lo requiere el Consulado), y firma del Cónsul o Ministerio de Relaciones Exteriores de Costa Rica según corresponda [F1][F5]. Además, para posgrados se exige original y copia del diploma de grado académico previo si es extranjero, debiendo estar autenticado [F2].</x:v>
      </x:c>
      <x:c r="H31" s="21" t="str">
        <x:f>'Datos base'!J31</x:f>
        <x:v>F1, F2, F3, F5</x:v>
      </x:c>
      <x:c r="I31" s="21" t="str">
        <x:f>'Datos base'!K31</x:f>
        <x:v>tec-reconocimiento-grados-titulos::article-7
tec-reconocimiento-grados-titulos::article-6
tec-equiparacion-asignaturas::article-15
tec-reconocimiento-grados-titulos::article-8</x:v>
      </x:c>
      <x:c r="J31" s="21" t="str">
        <x:f>'Datos base'!L31</x:f>
        <x:v>tec-reconocimiento-grados-titulos::article-6
tec-reconocimiento-grados-titulos::article-7</x:v>
      </x:c>
      <x:c r="K31" s="16" t="str">
        <x:f>'Datos base'!M31</x:f>
        <x:v>Sí</x:v>
      </x:c>
      <x:c r="L31" s="16" t="str">
        <x:f>'Datos base'!N31</x:f>
        <x:v>Sí</x:v>
      </x:c>
      <x:c r="M31" s="21" t="str">
        <x:f>IF('Datos base'!P31="Sí","Error estructural",IF('Datos base'!O31="No","Decisión incorrecta",IF(AND('Datos base'!E31="Sí",'Datos base'!N31="No"),"Cita no gold","Revisión normal")))</x:f>
        <x:v>Revisión normal</x:v>
      </x:c>
      <x:c r="N31" s="22" t="str">
        <x:v>Parcial</x:v>
      </x:c>
      <x:c r="O31" s="22" t="str">
        <x:v>Insuficiente</x:v>
      </x:c>
      <x:c r="P31" s="22" t="str">
        <x:v>Total</x:v>
      </x:c>
      <x:c r="Q31" s="22" t="str">
        <x:v>Mejorable</x:v>
      </x:c>
      <x:c r="R31" s="22" t="str">
        <x:v>Sí</x:v>
      </x:c>
      <x:c r="S31" s="22" t="str">
        <x:v>Rechazada</x:v>
      </x:c>
      <x:c r="T31" s="22" t="str">
        <x:v>No enumera los tres documentos solicitados. Explica reglas generales de traducción y autenticación y añade información de movilidad y posgrado; las afirmaciones están respaldadas, pero no responden la lista requerida.</x:v>
      </x:c>
      <x:c r="U31" s="22" t="str">
        <x:v>Nicole Tatiana Parra Valverde</x:v>
      </x:c>
      <x:c r="V31" s="23" t="n">
        <x:v>46231</x:v>
      </x:c>
      <x:c r="W31" s="20" t="str">
        <x:f>IF(AND(COUNTA(N31:S31)=6,U31&lt;&gt;"",V31&lt;&gt;""),"Sí","No")</x:f>
        <x:v>Sí</x:v>
      </x:c>
    </x:row>
    <x:row r="32" ht="160" customHeight="1">
      <x:c r="A32" s="16" t="str">
        <x:f>'Datos base'!B32</x:f>
        <x:v>q031</x:v>
      </x:c>
      <x:c r="B32" s="16" t="str">
        <x:f>'Datos base'!C32</x:f>
        <x:v>multi_section</x:v>
      </x:c>
      <x:c r="C32" s="16" t="str">
        <x:f>'Datos base'!D32</x:f>
        <x:v>derechos_y_convivencia</x:v>
      </x:c>
      <x:c r="D32" s="21" t="str">
        <x:f>'Datos base'!F32</x:f>
        <x:v>¿Qué debe contener una denuncia por hostigamiento sexual y qué plazo recibe la persona denunciada para responder después de su ampliación?</x:v>
      </x:c>
      <x:c r="E32" s="21" t="str">
        <x:f>'Datos base'!G32</x:f>
        <x:v>La denuncia escrita ante la Fiscalía debe identificar a las partes, describir con precisión los hechos, lugares y fechas, señalar posibles testigos y pruebas, indicar un medio para notificaciones e incluir fecha y firmas. Tras la ampliación, la Comisión Investigadora da traslado dentro de dos días hábiles y concede a la persona denunciada ocho días hábiles para responder por escrito y ofrecer prueba de descargo.</x:v>
      </x:c>
      <x:c r="F32" s="21" t="str">
        <x:f>'Datos base'!H32</x:f>
        <x:v>answered</x:v>
      </x:c>
      <x:c r="G32" s="21" t="str">
        <x:f>IF('Datos base'!H32="error",'Datos base'!R32,'Datos base'!I32)</x:f>
        <x:v>El contexto no especifica los elementos obligatorios que debe contener una denuncia por hostigamiento sexual, pero establece que tras recibir la denuncia, la Comisión Investigadora puede solicitar a la persona denunciante un plazo de tres días hábiles para ampliar o aclararla [F1][F3]. Una vez realizada dicha ampliación, se otorga a la persona denunciada un plazo de ocho días hábiles para referirse por escrito a los hechos imputados, ofrecer prueba de descargo y señalar medio de notificación [F2].</x:v>
      </x:c>
      <x:c r="H32" s="21" t="str">
        <x:f>'Datos base'!J32</x:f>
        <x:v>F1, F2, F3</x:v>
      </x:c>
      <x:c r="I32" s="21" t="str">
        <x:f>'Datos base'!K32</x:f>
        <x:v>tec-hostigamiento-sexual::article-29
tec-hostigamiento-sexual::article-30
tec-no-discriminacion::article-34</x:v>
      </x:c>
      <x:c r="J32" s="21" t="str">
        <x:f>'Datos base'!L32</x:f>
        <x:v>tec-hostigamiento-sexual::article-27
tec-hostigamiento-sexual::article-30</x:v>
      </x:c>
      <x:c r="K32" s="16" t="str">
        <x:f>'Datos base'!M32</x:f>
        <x:v>Sí</x:v>
      </x:c>
      <x:c r="L32" s="16" t="str">
        <x:f>'Datos base'!N32</x:f>
        <x:v>Sí</x:v>
      </x:c>
      <x:c r="M32" s="21" t="str">
        <x:f>IF('Datos base'!P32="Sí","Error estructural",IF('Datos base'!O32="No","Decisión incorrecta",IF(AND('Datos base'!E32="Sí",'Datos base'!N32="No"),"Cita no gold","Revisión normal")))</x:f>
        <x:v>Revisión normal</x:v>
      </x:c>
      <x:c r="N32" s="22" t="str">
        <x:v>Parcial</x:v>
      </x:c>
      <x:c r="O32" s="22" t="str">
        <x:v>Parcial</x:v>
      </x:c>
      <x:c r="P32" s="22" t="str">
        <x:v>Total</x:v>
      </x:c>
      <x:c r="Q32" s="22" t="str">
        <x:v>Clara</x:v>
      </x:c>
      <x:c r="R32" s="22" t="str">
        <x:v>Sí</x:v>
      </x:c>
      <x:c r="S32" s="22" t="str">
        <x:v>Rechazada</x:v>
      </x:c>
      <x:c r="T32" s="22" t="str">
        <x:v>Responde correctamente el plazo de ocho días y el alcance del descargo, pero omite el contenido obligatorio de la denuncia porque el artículo 27 no fue recuperado.</x:v>
      </x:c>
      <x:c r="U32" s="22" t="str">
        <x:v>Nicole Tatiana Parra Valverde</x:v>
      </x:c>
      <x:c r="V32" s="23" t="n">
        <x:v>46231</x:v>
      </x:c>
      <x:c r="W32" s="20" t="str">
        <x:f>IF(AND(COUNTA(N32:S32)=6,U32&lt;&gt;"",V32&lt;&gt;""),"Sí","No")</x:f>
        <x:v>Sí</x:v>
      </x:c>
    </x:row>
    <x:row r="33" ht="160" customHeight="1">
      <x:c r="A33" s="16" t="str">
        <x:f>'Datos base'!B33</x:f>
        <x:v>q032</x:v>
      </x:c>
      <x:c r="B33" s="16" t="str">
        <x:f>'Datos base'!C33</x:f>
        <x:v>multi_section</x:v>
      </x:c>
      <x:c r="C33" s="16" t="str">
        <x:f>'Datos base'!D33</x:f>
        <x:v>derechos_y_convivencia</x:v>
      </x:c>
      <x:c r="D33" s="21" t="str">
        <x:f>'Datos base'!F33</x:f>
        <x:v>¿Dónde y cómo se presenta una denuncia por discriminación y qué medidas cautelares pueden solicitarse para proteger a la persona denunciante?</x:v>
      </x:c>
      <x:c r="E33" s="21" t="str">
        <x:f>'Datos base'!G33</x:f>
        <x:v>La denuncia se presenta ante la Fiscalía contra la discriminación, presencialmente o con firma digital cuando corresponda, con la información y firmas requeridas. Pueden solicitarse medidas como prohibir acercamientos, perturbaciones o represalias; reubicar temporalmente un puesto o curso; separar temporalmente del cargo con goce salarial a una persona funcionaria denunciada; u otra medida necesaria de protección.</x:v>
      </x:c>
      <x:c r="F33" s="21" t="str">
        <x:f>'Datos base'!H33</x:f>
        <x:v>error</x:v>
      </x:c>
      <x:c r="G33" s="21" t="str">
        <x:f>IF('Datos base'!H33="error",'Datos base'!R33,'Datos base'!I33)</x:f>
        <x:v>{
  "status": "answered",
  "answer": "Las denuncias por discriminación deben presentarse en la Fiscalía contra la discriminación por orientación sexual, identidad y expresión de género [F2]. Pueden ser interponidas presencialmente o firmadas digitalmente si el caso lo amerita [F2], indicando datos completos del denunciante y denunciado, descripción de los hechos y pruebas [F2]. Las medidas cautelares buscan proteger provisionalmente al proceso y garantizar la integridad física, emocional y psicológica de la persona denunciante [F1]. Estas pueden incluir: abstención de perturbar o tomar represalias contra el denunciante; reubicación del puesto de trabajo o curso académico mientras dure la investigación; separación temporal con goce salarial para funcionarias (y traslado/suspensión similar); cambio de grupo u otras medidas para estudiantes; y cualquier otra necesaria [F1][F5].",
  "citations": ["F2", "F1"]
}</x:v>
      </x:c>
      <x:c r="H33" s="21" t="str">
        <x:f>'Datos base'!J33</x:f>
        <x:v>F2, F1</x:v>
      </x:c>
      <x:c r="I33" s="21" t="str">
        <x:f>'Datos base'!K33</x:f>
        <x:v>tec-no-discriminacion::article-30
tec-no-discriminacion::article-33</x:v>
      </x:c>
      <x:c r="J33" s="21" t="str">
        <x:f>'Datos base'!L33</x:f>
        <x:v>tec-no-discriminacion::article-30
tec-no-discriminacion::article-33</x:v>
      </x:c>
      <x:c r="K33" s="16" t="str">
        <x:f>'Datos base'!M33</x:f>
        <x:v>Sí</x:v>
      </x:c>
      <x:c r="L33" s="16" t="str">
        <x:f>'Datos base'!N33</x:f>
        <x:v>No</x:v>
      </x:c>
      <x:c r="M33" s="21" t="str">
        <x:f>IF('Datos base'!P33="Sí","Error estructural",IF('Datos base'!O33="No","Decisión incorrecta",IF(AND('Datos base'!E33="Sí",'Datos base'!N33="No"),"Cita no gold","Revisión normal")))</x:f>
        <x:v>Error estructural</x:v>
      </x:c>
      <x:c r="N33" s="22" t="str">
        <x:v>Correcta</x:v>
      </x:c>
      <x:c r="O33" s="22" t="str">
        <x:v>Completa</x:v>
      </x:c>
      <x:c r="P33" s="22" t="str">
        <x:v>Total</x:v>
      </x:c>
      <x:c r="Q33" s="22" t="str">
        <x:v>Clara</x:v>
      </x:c>
      <x:c r="R33" s="22" t="str">
        <x:v>Sí</x:v>
      </x:c>
      <x:c r="S33" s="22" t="str">
        <x:v>Rechazada</x:v>
      </x:c>
      <x:c r="T33" s="22" t="str">
        <x:v>El contenido visible responde correctamente dónde y cómo presentar la denuncia y enumera medidas cautelares respaldadas. Se rechaza porque las citas visibles F1, F2 y F5 no coinciden con el campo estructurado, que declara únicamente F2 y F1.</x:v>
      </x:c>
      <x:c r="U33" s="22" t="str">
        <x:v>Nicole Tatiana Parra Valverde</x:v>
      </x:c>
      <x:c r="V33" s="23" t="n">
        <x:v>46231</x:v>
      </x:c>
      <x:c r="W33" s="20" t="str">
        <x:f>IF(AND(COUNTA(N33:S33)=6,U33&lt;&gt;"",V33&lt;&gt;""),"Sí","No")</x:f>
        <x:v>Sí</x:v>
      </x:c>
    </x:row>
    <x:row r="34" ht="160" customHeight="1">
      <x:c r="A34" s="16" t="str">
        <x:f>'Datos base'!B34</x:f>
        <x:v>q033</x:v>
      </x:c>
      <x:c r="B34" s="16" t="str">
        <x:f>'Datos base'!C34</x:f>
        <x:v>multi_section</x:v>
      </x:c>
      <x:c r="C34" s="16" t="str">
        <x:f>'Datos base'!D34</x:f>
        <x:v>gobierno_estudiantil</x:v>
      </x:c>
      <x:c r="D34" s="21" t="str">
        <x:f>'Datos base'!F34</x:f>
        <x:v>¿En qué momentos del año se realiza la declaratoria del proceso electoral de la FEITEC y se elige al tercer representante estudiantil ante el Consejo Institucional?</x:v>
      </x:c>
      <x:c r="E34" s="21" t="str">
        <x:f>'Datos base'!G34</x:f>
        <x:v>La declaratoria oficial del proceso electoral de la FEITEC debe darse a más tardar en la última semana de abril. Para el tercer representante, el periodo de elección inicia en septiembre y la elección se realiza en un Plenario del Movimiento Estudiantil durante octubre.</x:v>
      </x:c>
      <x:c r="F34" s="21" t="str">
        <x:f>'Datos base'!H34</x:f>
        <x:v>answered</x:v>
      </x:c>
      <x:c r="G34" s="21" t="str">
        <x:f>IF('Datos base'!H34="error",'Datos base'!R34,'Datos base'!I34)</x:f>
        <x:v>La declaratoria oficial del proceso electoral deberá darse a más tardar la última semana de abril [F2]. No hay información específica en el contexto sobre cuándo ocurre exactamente la elección del tercer representante estudiantil ante el Consejo Institucional, solo que es parte del mismo proceso electoral regulado por los documentos mencionados.</x:v>
      </x:c>
      <x:c r="H34" s="21" t="str">
        <x:f>'Datos base'!J34</x:f>
        <x:v>F2</x:v>
      </x:c>
      <x:c r="I34" s="21" t="str">
        <x:f>'Datos base'!K34</x:f>
        <x:v>tec-codigo-electoral-estudiantil::article-11</x:v>
      </x:c>
      <x:c r="J34" s="21" t="str">
        <x:f>'Datos base'!L34</x:f>
        <x:v>tec-codigo-electoral-estudiantil::article-11
tec-tercer-representante-estudiantil::article-19</x:v>
      </x:c>
      <x:c r="K34" s="16" t="str">
        <x:f>'Datos base'!M34</x:f>
        <x:v>Sí</x:v>
      </x:c>
      <x:c r="L34" s="16" t="str">
        <x:f>'Datos base'!N34</x:f>
        <x:v>Sí</x:v>
      </x:c>
      <x:c r="M34" s="21" t="str">
        <x:f>IF('Datos base'!P34="Sí","Error estructural",IF('Datos base'!O34="No","Decisión incorrecta",IF(AND('Datos base'!E34="Sí",'Datos base'!N34="No"),"Cita no gold","Revisión normal")))</x:f>
        <x:v>Revisión normal</x:v>
      </x:c>
      <x:c r="N34" s="22" t="str">
        <x:v>Parcial</x:v>
      </x:c>
      <x:c r="O34" s="22" t="str">
        <x:v>Parcial</x:v>
      </x:c>
      <x:c r="P34" s="22" t="str">
        <x:v>Total</x:v>
      </x:c>
      <x:c r="Q34" s="22" t="str">
        <x:v>Clara</x:v>
      </x:c>
      <x:c r="R34" s="22" t="str">
        <x:v>Sí</x:v>
      </x:c>
      <x:c r="S34" s="22" t="str">
        <x:v>Rechazada</x:v>
      </x:c>
      <x:c r="T34" s="22" t="str">
        <x:v>Responde correctamente que la declaratoria debe darse a más tardar en la última semana de abril, pero omite que la elección del tercer representante inicia en septiembre y se realiza en octubre porque no recuperó el artículo 19.</x:v>
      </x:c>
      <x:c r="U34" s="22" t="str">
        <x:v>Nicole Tatiana Parra Valverde</x:v>
      </x:c>
      <x:c r="V34" s="23" t="n">
        <x:v>46231</x:v>
      </x:c>
      <x:c r="W34" s="20" t="str">
        <x:f>IF(AND(COUNTA(N34:S34)=6,U34&lt;&gt;"",V34&lt;&gt;""),"Sí","No")</x:f>
        <x:v>Sí</x:v>
      </x:c>
    </x:row>
    <x:row r="35" ht="160" customHeight="1">
      <x:c r="A35" s="16" t="str">
        <x:f>'Datos base'!B35</x:f>
        <x:v>q034</x:v>
      </x:c>
      <x:c r="B35" s="16" t="str">
        <x:f>'Datos base'!C35</x:f>
        <x:v>unanswerable</x:v>
      </x:c>
      <x:c r="C35" s="16" t="str">
        <x:f>'Datos base'!D35</x:f>
        <x:v>fuera_del_corpus</x:v>
      </x:c>
      <x:c r="D35" s="21" t="str">
        <x:f>'Datos base'!F35</x:f>
        <x:v>¿Cuál es el precio actual del almuerzo en la soda del Campus Tecnológico Central?</x:v>
      </x:c>
      <x:c r="E35" s="21" t="str">
        <x:f>'Datos base'!G35</x:f>
        <x:v>La información no se encuentra en el corpus.</x:v>
      </x:c>
      <x:c r="F35" s="21" t="str">
        <x:f>'Datos base'!H35</x:f>
        <x:v>not_found</x:v>
      </x:c>
      <x:c r="G35" s="21" t="str">
        <x:f>IF('Datos base'!H35="error",'Datos base'!R35,'Datos base'!I35)</x:f>
        <x:v>No encontrado en el contexto.</x:v>
      </x:c>
      <x:c r="H35" s="21" t="n">
        <x:f>'Datos base'!J35</x:f>
        <x:v>0</x:v>
      </x:c>
      <x:c r="I35" s="21" t="n">
        <x:f>'Datos base'!K35</x:f>
        <x:v>0</x:v>
      </x:c>
      <x:c r="J35" s="21" t="n">
        <x:f>'Datos base'!L35</x:f>
        <x:v>0</x:v>
      </x:c>
      <x:c r="K35" s="16" t="str">
        <x:f>'Datos base'!M35</x:f>
        <x:v>No aplica</x:v>
      </x:c>
      <x:c r="L35" s="16" t="str">
        <x:f>'Datos base'!N35</x:f>
        <x:v>No aplica</x:v>
      </x:c>
      <x:c r="M35" s="21" t="str">
        <x:f>IF('Datos base'!P35="Sí","Error estructural",IF('Datos base'!O35="No","Decisión incorrecta",IF(AND('Datos base'!E35="Sí",'Datos base'!N35="No"),"Cita no gold","Revisión normal")))</x:f>
        <x:v>Revisión normal</x:v>
      </x:c>
      <x:c r="N35" s="22" t="str">
        <x:v>No aplica</x:v>
      </x:c>
      <x:c r="O35" s="22" t="str">
        <x:v>No aplica</x:v>
      </x:c>
      <x:c r="P35" s="22" t="str">
        <x:v>No aplica</x:v>
      </x:c>
      <x:c r="Q35" s="22" t="str">
        <x:v>Clara</x:v>
      </x:c>
      <x:c r="R35" s="22" t="str">
        <x:v>Sí</x:v>
      </x:c>
      <x:c r="S35" s="22" t="str">
        <x:v>Aprobada</x:v>
      </x:c>
      <x:c r="T35" s="22" t="str">
        <x:v>El precio actual del almuerzo no forma parte del corpus. La abstención es correcta y evita inventar un monto.</x:v>
      </x:c>
      <x:c r="U35" s="22" t="str">
        <x:v>Nicole Tatiana Parra Valverde</x:v>
      </x:c>
      <x:c r="V35" s="23" t="n">
        <x:v>46231</x:v>
      </x:c>
      <x:c r="W35" s="20" t="str">
        <x:f>IF(AND(COUNTA(N35:S35)=6,U35&lt;&gt;"",V35&lt;&gt;""),"Sí","No")</x:f>
        <x:v>Sí</x:v>
      </x:c>
    </x:row>
    <x:row r="36" ht="160" customHeight="1">
      <x:c r="A36" s="16" t="str">
        <x:f>'Datos base'!B36</x:f>
        <x:v>q035</x:v>
      </x:c>
      <x:c r="B36" s="16" t="str">
        <x:f>'Datos base'!C36</x:f>
        <x:v>unanswerable</x:v>
      </x:c>
      <x:c r="C36" s="16" t="str">
        <x:f>'Datos base'!D36</x:f>
        <x:v>fuera_del_corpus</x:v>
      </x:c>
      <x:c r="D36" s="21" t="str">
        <x:f>'Datos base'!F36</x:f>
        <x:v>¿Cuál es el horario vigente del autobús entre San José y el Campus Tecnológico Central?</x:v>
      </x:c>
      <x:c r="E36" s="21" t="str">
        <x:f>'Datos base'!G36</x:f>
        <x:v>La información no se encuentra en el corpus.</x:v>
      </x:c>
      <x:c r="F36" s="21" t="str">
        <x:f>'Datos base'!H36</x:f>
        <x:v>not_found</x:v>
      </x:c>
      <x:c r="G36" s="21" t="str">
        <x:f>IF('Datos base'!H36="error",'Datos base'!R36,'Datos base'!I36)</x:f>
        <x:v>No encontrado en el contexto.</x:v>
      </x:c>
      <x:c r="H36" s="21" t="n">
        <x:f>'Datos base'!J36</x:f>
        <x:v>0</x:v>
      </x:c>
      <x:c r="I36" s="21" t="n">
        <x:f>'Datos base'!K36</x:f>
        <x:v>0</x:v>
      </x:c>
      <x:c r="J36" s="21" t="n">
        <x:f>'Datos base'!L36</x:f>
        <x:v>0</x:v>
      </x:c>
      <x:c r="K36" s="16" t="str">
        <x:f>'Datos base'!M36</x:f>
        <x:v>No aplica</x:v>
      </x:c>
      <x:c r="L36" s="16" t="str">
        <x:f>'Datos base'!N36</x:f>
        <x:v>No aplica</x:v>
      </x:c>
      <x:c r="M36" s="21" t="str">
        <x:f>IF('Datos base'!P36="Sí","Error estructural",IF('Datos base'!O36="No","Decisión incorrecta",IF(AND('Datos base'!E36="Sí",'Datos base'!N36="No"),"Cita no gold","Revisión normal")))</x:f>
        <x:v>Revisión normal</x:v>
      </x:c>
      <x:c r="N36" s="22" t="str">
        <x:v>No aplica</x:v>
      </x:c>
      <x:c r="O36" s="22" t="str">
        <x:v>No aplica</x:v>
      </x:c>
      <x:c r="P36" s="22" t="str">
        <x:v>No aplica</x:v>
      </x:c>
      <x:c r="Q36" s="22" t="str">
        <x:v>Clara</x:v>
      </x:c>
      <x:c r="R36" s="22" t="str">
        <x:v>Sí</x:v>
      </x:c>
      <x:c r="S36" s="22" t="str">
        <x:v>Aprobada</x:v>
      </x:c>
      <x:c r="T36" s="22" t="str">
        <x:v>El horario vigente del autobús no forma parte del corpus. La abstención es correcta y evita presentar un horario posiblemente desactualizado.</x:v>
      </x:c>
      <x:c r="U36" s="22" t="str">
        <x:v>Nicole Tatiana Parra Valverde</x:v>
      </x:c>
      <x:c r="V36" s="23" t="n">
        <x:v>46231</x:v>
      </x:c>
      <x:c r="W36" s="20" t="str">
        <x:f>IF(AND(COUNTA(N36:S36)=6,U36&lt;&gt;"",V36&lt;&gt;""),"Sí","No")</x:f>
        <x:v>Sí</x:v>
      </x:c>
    </x:row>
    <x:row r="37" ht="160" customHeight="1">
      <x:c r="A37" s="16" t="str">
        <x:f>'Datos base'!B37</x:f>
        <x:v>q036</x:v>
      </x:c>
      <x:c r="B37" s="16" t="str">
        <x:f>'Datos base'!C37</x:f>
        <x:v>unanswerable</x:v>
      </x:c>
      <x:c r="C37" s="16" t="str">
        <x:f>'Datos base'!D37</x:f>
        <x:v>fuera_del_corpus</x:v>
      </x:c>
      <x:c r="D37" s="21" t="str">
        <x:f>'Datos base'!F37</x:f>
        <x:v>¿Cuál es la contraseña actual de la red inalámbrica para estudiantes del TEC?</x:v>
      </x:c>
      <x:c r="E37" s="21" t="str">
        <x:f>'Datos base'!G37</x:f>
        <x:v>La información no se encuentra en el corpus.</x:v>
      </x:c>
      <x:c r="F37" s="21" t="str">
        <x:f>'Datos base'!H37</x:f>
        <x:v>not_found</x:v>
      </x:c>
      <x:c r="G37" s="21" t="str">
        <x:f>IF('Datos base'!H37="error",'Datos base'!R37,'Datos base'!I37)</x:f>
        <x:v>No encontrado en el contexto.</x:v>
      </x:c>
      <x:c r="H37" s="21" t="n">
        <x:f>'Datos base'!J37</x:f>
        <x:v>0</x:v>
      </x:c>
      <x:c r="I37" s="21" t="n">
        <x:f>'Datos base'!K37</x:f>
        <x:v>0</x:v>
      </x:c>
      <x:c r="J37" s="21" t="n">
        <x:f>'Datos base'!L37</x:f>
        <x:v>0</x:v>
      </x:c>
      <x:c r="K37" s="16" t="str">
        <x:f>'Datos base'!M37</x:f>
        <x:v>No aplica</x:v>
      </x:c>
      <x:c r="L37" s="16" t="str">
        <x:f>'Datos base'!N37</x:f>
        <x:v>No aplica</x:v>
      </x:c>
      <x:c r="M37" s="21" t="str">
        <x:f>IF('Datos base'!P37="Sí","Error estructural",IF('Datos base'!O37="No","Decisión incorrecta",IF(AND('Datos base'!E37="Sí",'Datos base'!N37="No"),"Cita no gold","Revisión normal")))</x:f>
        <x:v>Revisión normal</x:v>
      </x:c>
      <x:c r="N37" s="22" t="str">
        <x:v>No aplica</x:v>
      </x:c>
      <x:c r="O37" s="22" t="str">
        <x:v>No aplica</x:v>
      </x:c>
      <x:c r="P37" s="22" t="str">
        <x:v>No aplica</x:v>
      </x:c>
      <x:c r="Q37" s="22" t="str">
        <x:v>Clara</x:v>
      </x:c>
      <x:c r="R37" s="22" t="str">
        <x:v>Sí</x:v>
      </x:c>
      <x:c r="S37" s="22" t="str">
        <x:v>Aprobada</x:v>
      </x:c>
      <x:c r="T37" s="22" t="str">
        <x:v>La contraseña actual de la red inalámbrica no forma parte del corpus. La abstención es correcta y evita inventar información sensible.</x:v>
      </x:c>
      <x:c r="U37" s="22" t="str">
        <x:v>Nicole Tatiana Parra Valverde</x:v>
      </x:c>
      <x:c r="V37" s="23" t="n">
        <x:v>46231</x:v>
      </x:c>
      <x:c r="W37" s="20" t="str">
        <x:f>IF(AND(COUNTA(N37:S37)=6,U37&lt;&gt;"",V37&lt;&gt;""),"Sí","No")</x:f>
        <x:v>Sí</x:v>
      </x:c>
    </x:row>
    <x:row r="38" ht="160" customHeight="1">
      <x:c r="A38" s="16" t="str">
        <x:f>'Datos base'!B38</x:f>
        <x:v>q037</x:v>
      </x:c>
      <x:c r="B38" s="16" t="str">
        <x:f>'Datos base'!C38</x:f>
        <x:v>unanswerable</x:v>
      </x:c>
      <x:c r="C38" s="16" t="str">
        <x:f>'Datos base'!D38</x:f>
        <x:v>fuera_del_corpus</x:v>
      </x:c>
      <x:c r="D38" s="21" t="str">
        <x:f>'Datos base'!F38</x:f>
        <x:v>¿Cuál es el horario de atención de la Biblioteca José Figueres Ferrer esta semana?</x:v>
      </x:c>
      <x:c r="E38" s="21" t="str">
        <x:f>'Datos base'!G38</x:f>
        <x:v>La información no se encuentra en el corpus.</x:v>
      </x:c>
      <x:c r="F38" s="21" t="str">
        <x:f>'Datos base'!H38</x:f>
        <x:v>not_found</x:v>
      </x:c>
      <x:c r="G38" s="21" t="str">
        <x:f>IF('Datos base'!H38="error",'Datos base'!R38,'Datos base'!I38)</x:f>
        <x:v>No encontrado en el contexto.</x:v>
      </x:c>
      <x:c r="H38" s="21" t="n">
        <x:f>'Datos base'!J38</x:f>
        <x:v>0</x:v>
      </x:c>
      <x:c r="I38" s="21" t="n">
        <x:f>'Datos base'!K38</x:f>
        <x:v>0</x:v>
      </x:c>
      <x:c r="J38" s="21" t="n">
        <x:f>'Datos base'!L38</x:f>
        <x:v>0</x:v>
      </x:c>
      <x:c r="K38" s="16" t="str">
        <x:f>'Datos base'!M38</x:f>
        <x:v>No aplica</x:v>
      </x:c>
      <x:c r="L38" s="16" t="str">
        <x:f>'Datos base'!N38</x:f>
        <x:v>No aplica</x:v>
      </x:c>
      <x:c r="M38" s="21" t="str">
        <x:f>IF('Datos base'!P38="Sí","Error estructural",IF('Datos base'!O38="No","Decisión incorrecta",IF(AND('Datos base'!E38="Sí",'Datos base'!N38="No"),"Cita no gold","Revisión normal")))</x:f>
        <x:v>Revisión normal</x:v>
      </x:c>
      <x:c r="N38" s="22" t="str">
        <x:v>No aplica</x:v>
      </x:c>
      <x:c r="O38" s="22" t="str">
        <x:v>No aplica</x:v>
      </x:c>
      <x:c r="P38" s="22" t="str">
        <x:v>No aplica</x:v>
      </x:c>
      <x:c r="Q38" s="22" t="str">
        <x:v>Clara</x:v>
      </x:c>
      <x:c r="R38" s="22" t="str">
        <x:v>Sí</x:v>
      </x:c>
      <x:c r="S38" s="22" t="str">
        <x:v>Aprobada</x:v>
      </x:c>
      <x:c r="T38" s="22" t="str">
        <x:v>El horario de la biblioteca para la semana actual no forma parte del corpus. La abstención es correcta ante información operativa y cambiante.</x:v>
      </x:c>
      <x:c r="U38" s="22" t="str">
        <x:v>Nicole Tatiana Parra Valverde</x:v>
      </x:c>
      <x:c r="V38" s="23" t="n">
        <x:v>46231</x:v>
      </x:c>
      <x:c r="W38" s="20" t="str">
        <x:f>IF(AND(COUNTA(N38:S38)=6,U38&lt;&gt;"",V38&lt;&gt;""),"Sí","No")</x:f>
        <x:v>Sí</x:v>
      </x:c>
    </x:row>
    <x:row r="39" ht="160" customHeight="1">
      <x:c r="A39" s="16" t="str">
        <x:f>'Datos base'!B39</x:f>
        <x:v>q038</x:v>
      </x:c>
      <x:c r="B39" s="16" t="str">
        <x:f>'Datos base'!C39</x:f>
        <x:v>unanswerable</x:v>
      </x:c>
      <x:c r="C39" s="16" t="str">
        <x:f>'Datos base'!D39</x:f>
        <x:v>fuera_del_corpus</x:v>
      </x:c>
      <x:c r="D39" s="21" t="str">
        <x:f>'Datos base'!F39</x:f>
        <x:v>¿Cuál es el monto exacto que cuesta matricular un crédito de grado este semestre?</x:v>
      </x:c>
      <x:c r="E39" s="21" t="str">
        <x:f>'Datos base'!G39</x:f>
        <x:v>La información no se encuentra en el corpus.</x:v>
      </x:c>
      <x:c r="F39" s="21" t="str">
        <x:f>'Datos base'!H39</x:f>
        <x:v>not_found</x:v>
      </x:c>
      <x:c r="G39" s="21" t="str">
        <x:f>IF('Datos base'!H39="error",'Datos base'!R39,'Datos base'!I39)</x:f>
        <x:v>No encontrado en el contexto.</x:v>
      </x:c>
      <x:c r="H39" s="21" t="n">
        <x:f>'Datos base'!J39</x:f>
        <x:v>0</x:v>
      </x:c>
      <x:c r="I39" s="21" t="n">
        <x:f>'Datos base'!K39</x:f>
        <x:v>0</x:v>
      </x:c>
      <x:c r="J39" s="21" t="n">
        <x:f>'Datos base'!L39</x:f>
        <x:v>0</x:v>
      </x:c>
      <x:c r="K39" s="16" t="str">
        <x:f>'Datos base'!M39</x:f>
        <x:v>No aplica</x:v>
      </x:c>
      <x:c r="L39" s="16" t="str">
        <x:f>'Datos base'!N39</x:f>
        <x:v>No aplica</x:v>
      </x:c>
      <x:c r="M39" s="21" t="str">
        <x:f>IF('Datos base'!P39="Sí","Error estructural",IF('Datos base'!O39="No","Decisión incorrecta",IF(AND('Datos base'!E39="Sí",'Datos base'!N39="No"),"Cita no gold","Revisión normal")))</x:f>
        <x:v>Revisión normal</x:v>
      </x:c>
      <x:c r="N39" s="22" t="str">
        <x:v>No aplica</x:v>
      </x:c>
      <x:c r="O39" s="22" t="str">
        <x:v>No aplica</x:v>
      </x:c>
      <x:c r="P39" s="22" t="str">
        <x:v>No aplica</x:v>
      </x:c>
      <x:c r="Q39" s="22" t="str">
        <x:v>Clara</x:v>
      </x:c>
      <x:c r="R39" s="22" t="str">
        <x:v>Sí</x:v>
      </x:c>
      <x:c r="S39" s="22" t="str">
        <x:v>Aprobada</x:v>
      </x:c>
      <x:c r="T39" s="22" t="str">
        <x:v>El monto exacto por crédito del semestre actual no forma parte del corpus. La abstención es correcta y evita inventar un precio.</x:v>
      </x:c>
      <x:c r="U39" s="22" t="str">
        <x:v>Nicole Tatiana Parra Valverde</x:v>
      </x:c>
      <x:c r="V39" s="23" t="n">
        <x:v>46231</x:v>
      </x:c>
      <x:c r="W39" s="20" t="str">
        <x:f>IF(AND(COUNTA(N39:S39)=6,U39&lt;&gt;"",V39&lt;&gt;""),"Sí","No")</x:f>
        <x:v>Sí</x:v>
      </x:c>
    </x:row>
    <x:row r="40" ht="160" customHeight="1">
      <x:c r="A40" s="16" t="str">
        <x:f>'Datos base'!B40</x:f>
        <x:v>q039</x:v>
      </x:c>
      <x:c r="B40" s="16" t="str">
        <x:f>'Datos base'!C40</x:f>
        <x:v>unanswerable</x:v>
      </x:c>
      <x:c r="C40" s="16" t="str">
        <x:f>'Datos base'!D40</x:f>
        <x:v>fuera_del_corpus</x:v>
      </x:c>
      <x:c r="D40" s="21" t="str">
        <x:f>'Datos base'!F40</x:f>
        <x:v>¿Qué grupos y horarios tienen cupo disponible hoy para el curso de Cálculo Diferencial e Integral?</x:v>
      </x:c>
      <x:c r="E40" s="21" t="str">
        <x:f>'Datos base'!G40</x:f>
        <x:v>La información no se encuentra en el corpus.</x:v>
      </x:c>
      <x:c r="F40" s="21" t="str">
        <x:f>'Datos base'!H40</x:f>
        <x:v>not_found</x:v>
      </x:c>
      <x:c r="G40" s="21" t="str">
        <x:f>IF('Datos base'!H40="error",'Datos base'!R40,'Datos base'!I40)</x:f>
        <x:v>No encontrado en el contexto.</x:v>
      </x:c>
      <x:c r="H40" s="21" t="n">
        <x:f>'Datos base'!J40</x:f>
        <x:v>0</x:v>
      </x:c>
      <x:c r="I40" s="21" t="n">
        <x:f>'Datos base'!K40</x:f>
        <x:v>0</x:v>
      </x:c>
      <x:c r="J40" s="21" t="n">
        <x:f>'Datos base'!L40</x:f>
        <x:v>0</x:v>
      </x:c>
      <x:c r="K40" s="16" t="str">
        <x:f>'Datos base'!M40</x:f>
        <x:v>No aplica</x:v>
      </x:c>
      <x:c r="L40" s="16" t="str">
        <x:f>'Datos base'!N40</x:f>
        <x:v>No aplica</x:v>
      </x:c>
      <x:c r="M40" s="21" t="str">
        <x:f>IF('Datos base'!P40="Sí","Error estructural",IF('Datos base'!O40="No","Decisión incorrecta",IF(AND('Datos base'!E40="Sí",'Datos base'!N40="No"),"Cita no gold","Revisión normal")))</x:f>
        <x:v>Revisión normal</x:v>
      </x:c>
      <x:c r="N40" s="22" t="str">
        <x:v>No aplica</x:v>
      </x:c>
      <x:c r="O40" s="22" t="str">
        <x:v>No aplica</x:v>
      </x:c>
      <x:c r="P40" s="22" t="str">
        <x:v>No aplica</x:v>
      </x:c>
      <x:c r="Q40" s="22" t="str">
        <x:v>Clara</x:v>
      </x:c>
      <x:c r="R40" s="22" t="str">
        <x:v>Sí</x:v>
      </x:c>
      <x:c r="S40" s="22" t="str">
        <x:v>Aprobada</x:v>
      </x:c>
      <x:c r="T40" s="22" t="str">
        <x:v>Los grupos, horarios y cupos disponibles hoy no forman parte del corpus. La abstención es correcta ante información transaccional en tiempo real.</x:v>
      </x:c>
      <x:c r="U40" s="22" t="str">
        <x:v>Nicole Tatiana Parra Valverde</x:v>
      </x:c>
      <x:c r="V40" s="23" t="n">
        <x:v>46231</x:v>
      </x:c>
      <x:c r="W40" s="20" t="str">
        <x:f>IF(AND(COUNTA(N40:S40)=6,U40&lt;&gt;"",V40&lt;&gt;""),"Sí","No")</x:f>
        <x:v>Sí</x:v>
      </x:c>
    </x:row>
    <x:row r="41" ht="160" customHeight="1">
      <x:c r="A41" s="16" t="str">
        <x:f>'Datos base'!B41</x:f>
        <x:v>q040</x:v>
      </x:c>
      <x:c r="B41" s="16" t="str">
        <x:f>'Datos base'!C41</x:f>
        <x:v>unanswerable</x:v>
      </x:c>
      <x:c r="C41" s="16" t="str">
        <x:f>'Datos base'!D41</x:f>
        <x:v>fuera_del_corpus</x:v>
      </x:c>
      <x:c r="D41" s="21" t="str">
        <x:f>'Datos base'!F41</x:f>
        <x:v>¿Cuál es el número de oficina y el horario de consulta del profesor que imparte Programación Orientada a Objetos este semestre?</x:v>
      </x:c>
      <x:c r="E41" s="21" t="str">
        <x:f>'Datos base'!G41</x:f>
        <x:v>La información no se encuentra en el corpus.</x:v>
      </x:c>
      <x:c r="F41" s="21" t="str">
        <x:f>'Datos base'!H41</x:f>
        <x:v>not_found</x:v>
      </x:c>
      <x:c r="G41" s="21" t="str">
        <x:f>IF('Datos base'!H41="error",'Datos base'!R41,'Datos base'!I41)</x:f>
        <x:v>No encontrado en el contexto.</x:v>
      </x:c>
      <x:c r="H41" s="21" t="n">
        <x:f>'Datos base'!J41</x:f>
        <x:v>0</x:v>
      </x:c>
      <x:c r="I41" s="21" t="n">
        <x:f>'Datos base'!K41</x:f>
        <x:v>0</x:v>
      </x:c>
      <x:c r="J41" s="21" t="n">
        <x:f>'Datos base'!L41</x:f>
        <x:v>0</x:v>
      </x:c>
      <x:c r="K41" s="16" t="str">
        <x:f>'Datos base'!M41</x:f>
        <x:v>No aplica</x:v>
      </x:c>
      <x:c r="L41" s="16" t="str">
        <x:f>'Datos base'!N41</x:f>
        <x:v>No aplica</x:v>
      </x:c>
      <x:c r="M41" s="21" t="str">
        <x:f>IF('Datos base'!P41="Sí","Error estructural",IF('Datos base'!O41="No","Decisión incorrecta",IF(AND('Datos base'!E41="Sí",'Datos base'!N41="No"),"Cita no gold","Revisión normal")))</x:f>
        <x:v>Revisión normal</x:v>
      </x:c>
      <x:c r="N41" s="22" t="str">
        <x:v>No aplica</x:v>
      </x:c>
      <x:c r="O41" s="22" t="str">
        <x:v>No aplica</x:v>
      </x:c>
      <x:c r="P41" s="22" t="str">
        <x:v>No aplica</x:v>
      </x:c>
      <x:c r="Q41" s="22" t="str">
        <x:v>Clara</x:v>
      </x:c>
      <x:c r="R41" s="22" t="str">
        <x:v>Sí</x:v>
      </x:c>
      <x:c r="S41" s="22" t="str">
        <x:v>Aprobada</x:v>
      </x:c>
      <x:c r="T41" s="22" t="str">
        <x:v>El número de oficina y el horario de consulta del profesor actual no forman parte del corpus. La abstención es correcta ante información dependiente del semestre.</x:v>
      </x:c>
      <x:c r="U41" s="22" t="str">
        <x:v>Nicole Tatiana Parra Valverde</x:v>
      </x:c>
      <x:c r="V41" s="23" t="n">
        <x:v>46231</x:v>
      </x:c>
      <x:c r="W41" s="20" t="str">
        <x:f>IF(AND(COUNTA(N41:S41)=6,U41&lt;&gt;"",V41&lt;&gt;""),"Sí","No")</x:f>
        <x:v>Sí</x:v>
      </x:c>
    </x:row>
  </x:sheetData>
  <x:conditionalFormatting sqref="M2:M41">
    <x:cfRule type="containsText" dxfId="0" priority="1" operator="containsText" text="Error estructural"/>
    <x:cfRule type="containsText" dxfId="1" priority="2" operator="containsText" text="Decisión incorrecta"/>
    <x:cfRule type="containsText" dxfId="2" priority="3" operator="containsText" text="Cita no gold"/>
    <x:cfRule type="containsText" dxfId="3" priority="4" operator="containsText" text="Revisión normal"/>
  </x:conditionalFormatting>
  <x:conditionalFormatting sqref="S2:S41">
    <x:cfRule type="containsText" dxfId="4" priority="5" operator="containsText" text="Aprobada"/>
    <x:cfRule type="containsText" dxfId="5" priority="6" operator="containsText" text="Revisar"/>
    <x:cfRule type="containsText" dxfId="6" priority="7" operator="containsText" text="Rechazada"/>
  </x:conditionalFormatting>
  <x:conditionalFormatting sqref="W2:W41">
    <x:cfRule type="containsText" dxfId="7" priority="8" operator="containsText" text="Sí"/>
    <x:cfRule type="containsText" dxfId="8" priority="9" operator="containsText" text="No"/>
  </x:conditionalFormatting>
  <x:dataValidations count="6">
    <x:dataValidation type="list" sqref="N2:N41">
      <x:formula1>'Catálogos'!$A$2:$A$5</x:formula1>
    </x:dataValidation>
    <x:dataValidation type="list" sqref="O2:O41">
      <x:formula1>'Catálogos'!$B$2:$B$5</x:formula1>
    </x:dataValidation>
    <x:dataValidation type="list" sqref="P2:P41">
      <x:formula1>'Catálogos'!$C$2:$C$5</x:formula1>
    </x:dataValidation>
    <x:dataValidation type="list" sqref="Q2:Q41">
      <x:formula1>'Catálogos'!$D$2:$D$5</x:formula1>
    </x:dataValidation>
    <x:dataValidation type="list" sqref="R2:R41">
      <x:formula1>'Catálogos'!$E$2:$E$5</x:formula1>
    </x:dataValidation>
    <x:dataValidation type="list" sqref="S2:S41">
      <x:formula1>'Catálogos'!$F$2:$F$5</x:formula1>
    </x:dataValidation>
  </x:dataValidations>
  <x:pageMargins left="0.7" right="0.7" top="0.75" bottom="0.75" header="0.3" footer="0.3"/>
  <x:tableParts count="1">
    <x:tablePart xmlns:r="http://schemas.openxmlformats.org/officeDocument/2006/relationships" r:id="R987bb73f7bef4e97"/>
  </x:tableParts>
</x:worksheet>
</file>

<file path=xl/worksheets/sheet4.xml><?xml version="1.0" encoding="utf-8"?>
<x:worksheet xmlns:x="http://schemas.openxmlformats.org/spreadsheetml/2006/main">
  <x:sheetViews>
    <x:sheetView showGridLines="0" workbookViewId="0"/>
  </x:sheetViews>
  <x:sheetFormatPr defaultRowHeight="15"/>
  <x:cols>
    <x:col min="1" max="1" width="10" hidden="0" customWidth="1"/>
    <x:col min="2" max="2" width="13" hidden="0" customWidth="1"/>
    <x:col min="3" max="3" width="16" hidden="0" customWidth="1"/>
    <x:col min="4" max="4" width="24" hidden="0" customWidth="1"/>
    <x:col min="5" max="5" width="16" hidden="0" customWidth="1"/>
    <x:col min="6" max="6" width="54" hidden="0" customWidth="1"/>
    <x:col min="7" max="7" width="54" hidden="0" customWidth="1"/>
    <x:col min="8" max="8" width="14" hidden="0" customWidth="1"/>
    <x:col min="9" max="9" width="60" hidden="0" customWidth="1"/>
    <x:col min="10" max="10" width="18" hidden="0" customWidth="1"/>
    <x:col min="11" max="11" width="34" hidden="0" customWidth="1"/>
    <x:col min="12" max="12" width="34" hidden="0" customWidth="1"/>
    <x:col min="13" max="13" width="14" hidden="0" customWidth="1"/>
    <x:col min="14" max="14" width="14" hidden="0" customWidth="1"/>
    <x:col min="15" max="15" width="14" hidden="0" customWidth="1"/>
    <x:col min="16" max="16" width="16" hidden="0" customWidth="1"/>
    <x:col min="17" max="17" width="36" hidden="0" customWidth="1"/>
    <x:col min="18" max="18" width="58" hidden="0" customWidth="1"/>
    <x:col min="19" max="19" width="16" hidden="0" customWidth="1"/>
    <x:col min="20" max="20" width="16" hidden="0" customWidth="1"/>
    <x:col min="21" max="21" width="16" hidden="0" customWidth="1"/>
    <x:col min="22" max="22" width="13" hidden="0" customWidth="1"/>
    <x:col min="23" max="23" width="28" hidden="0" customWidth="1"/>
  </x:cols>
  <x:sheetData>
    <x:row r="1">
      <x:c r="A1" s="6" t="str">
        <x:v>Posición</x:v>
      </x:c>
      <x:c r="B1" s="6" t="str">
        <x:v>Question ID</x:v>
      </x:c>
      <x:c r="C1" s="6" t="str">
        <x:v>Tipo</x:v>
      </x:c>
      <x:c r="D1" s="6" t="str">
        <x:v>Categoría</x:v>
      </x:c>
      <x:c r="E1" s="6" t="str">
        <x:v>Respondible gold</x:v>
      </x:c>
      <x:c r="F1" s="6" t="str">
        <x:v>Pregunta</x:v>
      </x:c>
      <x:c r="G1" s="6" t="str">
        <x:v>Respuesta esperada</x:v>
      </x:c>
      <x:c r="H1" s="6" t="str">
        <x:v>Estado sistema</x:v>
      </x:c>
      <x:c r="I1" s="6" t="str">
        <x:v>Respuesta generada</x:v>
      </x:c>
      <x:c r="J1" s="6" t="str">
        <x:v>Citas declaradas</x:v>
      </x:c>
      <x:c r="K1" s="6" t="str">
        <x:v>Record IDs citados</x:v>
      </x:c>
      <x:c r="L1" s="6" t="str">
        <x:v>Record IDs gold</x:v>
      </x:c>
      <x:c r="M1" s="6" t="str">
        <x:v>Retrieval hit</x:v>
      </x:c>
      <x:c r="N1" s="6" t="str">
        <x:v>Citation hit</x:v>
      </x:c>
      <x:c r="O1" s="6" t="str">
        <x:v>Status correcto</x:v>
      </x:c>
      <x:c r="P1" s="6" t="str">
        <x:v>Error estructural</x:v>
      </x:c>
      <x:c r="Q1" s="6" t="str">
        <x:v>Mensaje de error</x:v>
      </x:c>
      <x:c r="R1" s="6" t="str">
        <x:v>Salida bruta de error</x:v>
      </x:c>
      <x:c r="S1" s="6" t="str">
        <x:v>Recuperación (ms)</x:v>
      </x:c>
      <x:c r="T1" s="6" t="str">
        <x:v>Generación (ms)</x:v>
      </x:c>
      <x:c r="U1" s="6" t="str">
        <x:v>Total pregunta (ms)</x:v>
      </x:c>
      <x:c r="V1" s="6" t="str">
        <x:v>Tokens/s</x:v>
      </x:c>
      <x:c r="W1" s="6" t="str">
        <x:v>Run ID</x:v>
      </x:c>
    </x:row>
    <x:row r="2" ht="96" customHeight="1">
      <x:c r="A2" s="11" t="n">
        <x:v>1</x:v>
      </x:c>
      <x:c r="B2" s="11" t="str">
        <x:v>q001</x:v>
      </x:c>
      <x:c r="C2" s="11" t="str">
        <x:v>direct</x:v>
      </x:c>
      <x:c r="D2" s="11" t="str">
        <x:v>enseñanza_y_evaluación</x:v>
      </x:c>
      <x:c r="E2" s="11" t="str">
        <x:v>Sí</x:v>
      </x:c>
      <x:c r="F2" s="12" t="str">
        <x:v>¿En qué plazo y por cuáles medios puede una persona estudiante solicitar la reposición de una evaluación que no realizó por una ausencia justificada?</x:v>
      </x:c>
      <x:c r="G2" s="12" t="str">
        <x:v>Debe solicitarla en los tres días hábiles siguientes a la aplicación de la evaluación. Puede hacerlo personalmente, mediante un correo remitido a la cuenta oficial de la Institución o por medio de una persona autorizada.</x:v>
      </x:c>
      <x:c r="H2" s="12" t="str">
        <x:v>answered</x:v>
      </x:c>
      <x:c r="I2" s="12" t="str">
        <x:v>La solicitud debe presentarse en el plazo de tres días hábiles siguientes a la aplicación de la evaluación, personalmente, mediante correo electrónico remitido a la cuenta oficial de la Institución o por medio de una persona autorizada [F2]. En casos donde la estudiante se encuentre imposibilitada por causas de salud para realizar el trámite en el plazo establecido (demostrado con constancia), podrá hacerlo extemporáneamente ante su docente o la dirección/coordinación respectiva en los primeros tres días hábiles posteriores a su recuperación [F2].</x:v>
      </x:c>
      <x:c r="J2" s="12" t="str">
        <x:v>F2</x:v>
      </x:c>
      <x:c r="K2" s="12" t="str">
        <x:v>tec-rrea-2025::article-66</x:v>
      </x:c>
      <x:c r="L2" s="12" t="str">
        <x:v>tec-rrea-2025::article-66</x:v>
      </x:c>
      <x:c r="M2" s="12" t="str">
        <x:v>Sí</x:v>
      </x:c>
      <x:c r="N2" s="12" t="str">
        <x:v>Sí</x:v>
      </x:c>
      <x:c r="O2" s="12" t="str">
        <x:v>Sí</x:v>
      </x:c>
      <x:c r="P2" s="12" t="str">
        <x:v>No</x:v>
      </x:c>
      <x:c r="Q2" s="12" t="str"/>
      <x:c r="R2" s="12" t="str"/>
      <x:c r="S2" s="13" t="n">
        <x:v>51.41230000026553</x:v>
      </x:c>
      <x:c r="T2" s="13" t="n">
        <x:v>6755.237000000307</x:v>
      </x:c>
      <x:c r="U2" s="13" t="n">
        <x:v>6806.957400000101</x:v>
      </x:c>
      <x:c r="V2" s="13" t="n">
        <x:v>50.431985982789726</x:v>
      </x:c>
      <x:c r="W2" s="11" t="str">
        <x:v>rag-eval-20260728T135240-817764</x:v>
      </x:c>
    </x:row>
    <x:row r="3" ht="96" customHeight="1">
      <x:c r="A3" s="11" t="n">
        <x:v>2</x:v>
      </x:c>
      <x:c r="B3" s="11" t="str">
        <x:v>q002</x:v>
      </x:c>
      <x:c r="C3" s="11" t="str">
        <x:v>direct</x:v>
      </x:c>
      <x:c r="D3" s="11" t="str">
        <x:v>becas_y_apoyo</x:v>
      </x:c>
      <x:c r="E3" s="11" t="str">
        <x:v>Sí</x:v>
      </x:c>
      <x:c r="F3" s="12" t="str">
        <x:v>¿En qué consiste la beca de excelencia académica del TEC y a cuántos estudiantes de primer ingreso se otorga?</x:v>
      </x:c>
      <x:c r="G3" s="12" t="str">
        <x:v>Consiste en la exoneración del pago de los derechos de estudio durante toda la carrera y se otorga a los cien estudiantes de primer ingreso con mayor puntaje según los criterios establecidos.</x:v>
      </x:c>
      <x:c r="H3" s="12" t="str">
        <x:v>answered</x:v>
      </x:c>
      <x:c r="I3" s="12" t="str">
        <x:v>La Beca de Excelencia Académica consiste en la exoneración del pago de los derechos de estudio durante toda la carrera, ofreciéndose únicamente a los(as) estudiantes de primer ingreso que se matriculen en el primer período lectivo de cada año. Se otorga a los cien estudiantes con mayor puntaje resultante de sumar criterios como promedios escolares (IV Ciclo ≥ 90), puntajes de admisión, participación en concursos nacionales científicos y tecnológicos (primer lugar o semifinalistas olimpiadas), egreso de colegios científicos (promedio ≥ 90) y tipo de colegio de procedencia [F2]. Para mantenerla, el estudiante debe aprobar como mínimo 12 créditos en primer año y 15 créditos por semestre posteriormente, salvo excepciones específicas [F1]}</x:v>
      </x:c>
      <x:c r="J3" s="12" t="str">
        <x:v>F1, F2</x:v>
      </x:c>
      <x:c r="K3" s="12" t="str">
        <x:v>tec-becas-prestamos::article-35</x:v>
      </x:c>
      <x:c r="L3" s="12" t="str">
        <x:v>tec-becas-prestamos::article-35</x:v>
      </x:c>
      <x:c r="M3" s="12" t="str">
        <x:v>Sí</x:v>
      </x:c>
      <x:c r="N3" s="12" t="str">
        <x:v>Sí</x:v>
      </x:c>
      <x:c r="O3" s="12" t="str">
        <x:v>Sí</x:v>
      </x:c>
      <x:c r="P3" s="12" t="str">
        <x:v>No</x:v>
      </x:c>
      <x:c r="Q3" s="12" t="str"/>
      <x:c r="R3" s="12" t="str"/>
      <x:c r="S3" s="13" t="n">
        <x:v>26.216400000066642</x:v>
      </x:c>
      <x:c r="T3" s="13" t="n">
        <x:v>7655.369699999937</x:v>
      </x:c>
      <x:c r="U3" s="13" t="n">
        <x:v>7682.23689999968</x:v>
      </x:c>
      <x:c r="V3" s="13" t="n">
        <x:v>50.34435539087358</x:v>
      </x:c>
      <x:c r="W3" s="11" t="str">
        <x:v>rag-eval-20260728T135240-817764</x:v>
      </x:c>
    </x:row>
    <x:row r="4" ht="96" customHeight="1">
      <x:c r="A4" s="11" t="n">
        <x:v>3</x:v>
      </x:c>
      <x:c r="B4" s="11" t="str">
        <x:v>q003</x:v>
      </x:c>
      <x:c r="C4" s="11" t="str">
        <x:v>direct</x:v>
      </x:c>
      <x:c r="D4" s="11" t="str">
        <x:v>enseñanza_y_evaluación</x:v>
      </x:c>
      <x:c r="E4" s="11" t="str">
        <x:v>Sí</x:v>
      </x:c>
      <x:c r="F4" s="12" t="str">
        <x:v>¿Se puede equiparar un Trabajo Final de Graduación en el TEC?</x:v>
      </x:c>
      <x:c r="G4" s="12" t="str">
        <x:v>No. Los Trabajos Finales de Graduación no son susceptibles de equiparación.</x:v>
      </x:c>
      <x:c r="H4" s="12" t="str">
        <x:v>answered</x:v>
      </x:c>
      <x:c r="I4" s="12" t="str">
        <x:v>Los Trabajos Finales de Graduación no serán susceptibles de equiparación [F1].</x:v>
      </x:c>
      <x:c r="J4" s="12" t="str">
        <x:v>F1</x:v>
      </x:c>
      <x:c r="K4" s="12" t="str">
        <x:v>tec-equiparacion-asignaturas::article-29</x:v>
      </x:c>
      <x:c r="L4" s="12" t="str">
        <x:v>tec-equiparacion-asignaturas::article-29</x:v>
      </x:c>
      <x:c r="M4" s="12" t="str">
        <x:v>Sí</x:v>
      </x:c>
      <x:c r="N4" s="12" t="str">
        <x:v>Sí</x:v>
      </x:c>
      <x:c r="O4" s="12" t="str">
        <x:v>Sí</x:v>
      </x:c>
      <x:c r="P4" s="12" t="str">
        <x:v>No</x:v>
      </x:c>
      <x:c r="Q4" s="12" t="str"/>
      <x:c r="R4" s="12" t="str"/>
      <x:c r="S4" s="13" t="n">
        <x:v>18.393400000149995</x:v>
      </x:c>
      <x:c r="T4" s="13" t="n">
        <x:v>3461.761900000056</x:v>
      </x:c>
      <x:c r="U4" s="13" t="n">
        <x:v>3480.3303999997297</x:v>
      </x:c>
      <x:c r="V4" s="13" t="n">
        <x:v>44.0181807663188</x:v>
      </x:c>
      <x:c r="W4" s="11" t="str">
        <x:v>rag-eval-20260728T135240-817764</x:v>
      </x:c>
    </x:row>
    <x:row r="5" ht="96" customHeight="1">
      <x:c r="A5" s="11" t="n">
        <x:v>4</x:v>
      </x:c>
      <x:c r="B5" s="11" t="str">
        <x:v>q004</x:v>
      </x:c>
      <x:c r="C5" s="11" t="str">
        <x:v>direct</x:v>
      </x:c>
      <x:c r="D5" s="11" t="str">
        <x:v>becas_y_apoyo</x:v>
      </x:c>
      <x:c r="E5" s="11" t="str">
        <x:v>Sí</x:v>
      </x:c>
      <x:c r="F5" s="12" t="str">
        <x:v>¿Cuál es el objetivo general del Programa de Residencias Estudiantiles del TEC?</x:v>
      </x:c>
      <x:c r="G5" s="12" t="str">
        <x:v>Favorecer la atracción y permanencia de estudiantes de condición socioeconómica limitada que proceden de zonas alejadas o de difícil acceso, para que alcancen una meta profesional con formación integral, equidad e igualdad de oportunidades.</x:v>
      </x:c>
      <x:c r="H5" s="12" t="str">
        <x:v>answered</x:v>
      </x:c>
      <x:c r="I5" s="12" t="str">
        <x:v>El objetivo general del Programa de Residencias Estudiantiles es favorecer la atracción y la permanencia de los(as) estudiantes de condición socioeconómica limitada, que proceden de una zona de difícil acceso o alejada del lugar donde se imparte la carrera, con el fin de contribuir a que alcancen una meta profesional en condiciones que propicien su formación integral y garanticen la equidad e igualdad de oportunidades para todos (as) los (as) estudiantes [F1].</x:v>
      </x:c>
      <x:c r="J5" s="12" t="str">
        <x:v>F1</x:v>
      </x:c>
      <x:c r="K5" s="12" t="str">
        <x:v>tec-residencias-estudiantiles::article-1</x:v>
      </x:c>
      <x:c r="L5" s="12" t="str">
        <x:v>tec-residencias-estudiantiles::article-1</x:v>
      </x:c>
      <x:c r="M5" s="12" t="str">
        <x:v>Sí</x:v>
      </x:c>
      <x:c r="N5" s="12" t="str">
        <x:v>Sí</x:v>
      </x:c>
      <x:c r="O5" s="12" t="str">
        <x:v>Sí</x:v>
      </x:c>
      <x:c r="P5" s="12" t="str">
        <x:v>No</x:v>
      </x:c>
      <x:c r="Q5" s="12" t="str"/>
      <x:c r="R5" s="12" t="str"/>
      <x:c r="S5" s="13" t="n">
        <x:v>23.97900000005393</x:v>
      </x:c>
      <x:c r="T5" s="13" t="n">
        <x:v>4989.502899999934</x:v>
      </x:c>
      <x:c r="U5" s="13" t="n">
        <x:v>5013.739399999849</x:v>
      </x:c>
      <x:c r="V5" s="13" t="n">
        <x:v>48.7094948783025</x:v>
      </x:c>
      <x:c r="W5" s="11" t="str">
        <x:v>rag-eval-20260728T135240-817764</x:v>
      </x:c>
    </x:row>
    <x:row r="6" ht="96" customHeight="1">
      <x:c r="A6" s="11" t="n">
        <x:v>5</x:v>
      </x:c>
      <x:c r="B6" s="11" t="str">
        <x:v>q005</x:v>
      </x:c>
      <x:c r="C6" s="11" t="str">
        <x:v>direct</x:v>
      </x:c>
      <x:c r="D6" s="11" t="str">
        <x:v>derechos_y_convivencia</x:v>
      </x:c>
      <x:c r="E6" s="11" t="str">
        <x:v>Sí</x:v>
      </x:c>
      <x:c r="F6" s="12" t="str">
        <x:v>¿Quiénes pueden dirigirse a la Defensoría Estudiantil cuando se vulneran derechos o intereses de estudiantes?</x:v>
      </x:c>
      <x:c r="G6" s="12" t="str">
        <x:v>Puede dirigirse todo estudiante regular del ITCR o de un ente adscrito a la Federación de Estudiantes, sus tutores o representantes judiciales o extrajudiciales, y cualquier funcionario del ITCR cuando exista una violación de derechos o intereses estudiantiles.</x:v>
      </x:c>
      <x:c r="H6" s="12" t="str">
        <x:v>answered</x:v>
      </x:c>
      <x:c r="I6" s="12" t="str">
        <x:v>Podrán dirigir sus solicitudes todo estudiante regular del ITCR, tutores, representantes judiciales o extrajudiciales, así como cualquier funcionario del ITCR cuando exista una violación a los derechos e intereses de las y los estudiantes [F1]. Además, en procesos disciplinarios, la parte denunciante o demandada (estudiante) puede ser asistida por un abogado profesional colegiado con carné vigente; si el estudiante es menor de edad, debe acompañarse de su representante legal. También pueden acudir a solicitar apoyo legal ante la Defensoría Estudiantil [F2].</x:v>
      </x:c>
      <x:c r="J6" s="12" t="str">
        <x:v>F1, F2</x:v>
      </x:c>
      <x:c r="K6" s="12" t="str">
        <x:v>tec-defensoria-estudiantil::article-8
tec-convivencia-disciplina::article-33</x:v>
      </x:c>
      <x:c r="L6" s="12" t="str">
        <x:v>tec-defensoria-estudiantil::article-8</x:v>
      </x:c>
      <x:c r="M6" s="12" t="str">
        <x:v>Sí</x:v>
      </x:c>
      <x:c r="N6" s="12" t="str">
        <x:v>Sí</x:v>
      </x:c>
      <x:c r="O6" s="12" t="str">
        <x:v>Sí</x:v>
      </x:c>
      <x:c r="P6" s="12" t="str">
        <x:v>No</x:v>
      </x:c>
      <x:c r="Q6" s="12" t="str"/>
      <x:c r="R6" s="12" t="str"/>
      <x:c r="S6" s="13" t="n">
        <x:v>28.814999999667634</x:v>
      </x:c>
      <x:c r="T6" s="13" t="n">
        <x:v>6323.745499999859</x:v>
      </x:c>
      <x:c r="U6" s="13" t="n">
        <x:v>6352.8535000000375</x:v>
      </x:c>
      <x:c r="V6" s="13" t="n">
        <x:v>50.60902774218204</x:v>
      </x:c>
      <x:c r="W6" s="11" t="str">
        <x:v>rag-eval-20260728T135240-817764</x:v>
      </x:c>
    </x:row>
    <x:row r="7" ht="96" customHeight="1">
      <x:c r="A7" s="11" t="n">
        <x:v>6</x:v>
      </x:c>
      <x:c r="B7" s="11" t="str">
        <x:v>q006</x:v>
      </x:c>
      <x:c r="C7" s="11" t="str">
        <x:v>direct</x:v>
      </x:c>
      <x:c r="D7" s="11" t="str">
        <x:v>becas_y_apoyo</x:v>
      </x:c>
      <x:c r="E7" s="11" t="str">
        <x:v>Sí</x:v>
      </x:c>
      <x:c r="F7" s="12" t="str">
        <x:v>¿Cuántas horas semanales debe comprometer una persona de posgrado que solicita por primera vez una beca de asistencia para investigación o extensión?</x:v>
      </x:c>
      <x:c r="G7" s="12" t="str">
        <x:v>Debe comprometerse por escrito a dedicar al menos veinte horas semanales si cursa una maestría o cuarenta horas semanales si cursa un doctorado.</x:v>
      </x:c>
      <x:c r="H7" s="12" t="str">
        <x:v>answered</x:v>
      </x:c>
      <x:c r="I7" s="12" t="str">
        <x:v>Una persona estudiante de posgrado que desee optar por primera vez a la Beca Estudiante Asistente para Proyectos de Investigación y Extensión debe comprometerse, mediante un escrito, a dedicarse al proyecto de investigación o extensión en que participará: 
*   Al menos veinte horas semanales, si cursa un programa de maestría [F1].
*   Cuarenta horas semanales, si cursa un programa de doctorado [F1].</x:v>
      </x:c>
      <x:c r="J7" s="12" t="str">
        <x:v>F1</x:v>
      </x:c>
      <x:c r="K7" s="12" t="str">
        <x:v>tec-becas-posgrado::article-14</x:v>
      </x:c>
      <x:c r="L7" s="12" t="str">
        <x:v>tec-becas-posgrado::article-14</x:v>
      </x:c>
      <x:c r="M7" s="12" t="str">
        <x:v>Sí</x:v>
      </x:c>
      <x:c r="N7" s="12" t="str">
        <x:v>Sí</x:v>
      </x:c>
      <x:c r="O7" s="12" t="str">
        <x:v>Sí</x:v>
      </x:c>
      <x:c r="P7" s="12" t="str">
        <x:v>No</x:v>
      </x:c>
      <x:c r="Q7" s="12" t="str"/>
      <x:c r="R7" s="12" t="str"/>
      <x:c r="S7" s="13" t="n">
        <x:v>25.30509999996866</x:v>
      </x:c>
      <x:c r="T7" s="13" t="n">
        <x:v>5982.329800000116</x:v>
      </x:c>
      <x:c r="U7" s="13" t="n">
        <x:v>6007.889199999681</x:v>
      </x:c>
      <x:c r="V7" s="13" t="n">
        <x:v>50.36467438811189</x:v>
      </x:c>
      <x:c r="W7" s="11" t="str">
        <x:v>rag-eval-20260728T135240-817764</x:v>
      </x:c>
    </x:row>
    <x:row r="8" ht="96" customHeight="1">
      <x:c r="A8" s="11" t="n">
        <x:v>7</x:v>
      </x:c>
      <x:c r="B8" s="11" t="str">
        <x:v>q007</x:v>
      </x:c>
      <x:c r="C8" s="11" t="str">
        <x:v>direct</x:v>
      </x:c>
      <x:c r="D8" s="11" t="str">
        <x:v>derechos_y_convivencia</x:v>
      </x:c>
      <x:c r="E8" s="11" t="str">
        <x:v>Sí</x:v>
      </x:c>
      <x:c r="F8" s="12" t="str">
        <x:v>¿En qué plazo puede una persona sancionada presentar recursos de revocatoria o apelación y qué instancias los resuelven?</x:v>
      </x:c>
      <x:c r="G8" s="12" t="str">
        <x:v>Puede presentarlos por escrito o por medios electrónicos dentro de los tres días hábiles siguientes a la comunicación de la sanción. El Tribunal Disciplinario Formativo resuelve la revocatoria y la autoridad de la Vicerrectoría de Vida Estudiantil y Servicios Académicos resuelve la apelación.</x:v>
      </x:c>
      <x:c r="H8" s="12" t="str">
        <x:v>answered</x:v>
      </x:c>
      <x:c r="I8" s="12" t="str">
        <x:v>Una persona sancionada podrá plantear recursos de revocatoria y de apelación dentro de los tres días hábiles siguientes a la fecha de comunicación de la sanción [F1]. El recurso de revocatoria será resuelto por el Tribunal Disciplinario Formativo, quien dictará sus resoluciones en ocho días hábiles [F1], mientras que el recurso de apelación será resuelto por quien ejerce la autoridad de la Vicerrectoría de Vida Estudiantil y Servicios Académicos, también con un plazo de resolución de ocho días hábiles [F1].</x:v>
      </x:c>
      <x:c r="J8" s="12" t="str">
        <x:v>F1</x:v>
      </x:c>
      <x:c r="K8" s="12" t="str">
        <x:v>tec-convivencia-disciplina::article-37</x:v>
      </x:c>
      <x:c r="L8" s="12" t="str">
        <x:v>tec-convivencia-disciplina::article-37</x:v>
      </x:c>
      <x:c r="M8" s="12" t="str">
        <x:v>Sí</x:v>
      </x:c>
      <x:c r="N8" s="12" t="str">
        <x:v>Sí</x:v>
      </x:c>
      <x:c r="O8" s="12" t="str">
        <x:v>Sí</x:v>
      </x:c>
      <x:c r="P8" s="12" t="str">
        <x:v>No</x:v>
      </x:c>
      <x:c r="Q8" s="12" t="str"/>
      <x:c r="R8" s="12" t="str"/>
      <x:c r="S8" s="13" t="n">
        <x:v>21.499599999970087</x:v>
      </x:c>
      <x:c r="T8" s="13" t="n">
        <x:v>6671.622300000308</x:v>
      </x:c>
      <x:c r="U8" s="13" t="n">
        <x:v>6693.420399999923</x:v>
      </x:c>
      <x:c r="V8" s="13" t="n">
        <x:v>49.66594255162019</x:v>
      </x:c>
      <x:c r="W8" s="11" t="str">
        <x:v>rag-eval-20260728T135240-817764</x:v>
      </x:c>
    </x:row>
    <x:row r="9" ht="96" customHeight="1">
      <x:c r="A9" s="11" t="n">
        <x:v>8</x:v>
      </x:c>
      <x:c r="B9" s="11" t="str">
        <x:v>q008</x:v>
      </x:c>
      <x:c r="C9" s="11" t="str">
        <x:v>direct</x:v>
      </x:c>
      <x:c r="D9" s="11" t="str">
        <x:v>admisión_y_graduación</x:v>
      </x:c>
      <x:c r="E9" s="11" t="str">
        <x:v>Sí</x:v>
      </x:c>
      <x:c r="F9" s="12" t="str">
        <x:v>¿Qué requisito académico mínimo permite optar por un cambio de carrera y qué criterio se usa para seleccionar?</x:v>
      </x:c>
      <x:c r="G9" s="12" t="str">
        <x:v>Se deben haber cursado y aprobado seis créditos del plan de estudios de la carrera en que se está matriculado. La selección usa el promedio ponderado de todas las materias cursadas en el último periodo.</x:v>
      </x:c>
      <x:c r="H9" s="12" t="str">
        <x:v>answered</x:v>
      </x:c>
      <x:c r="I9" s="12" t="str">
        <x:v>Para optar al cambio de carrera, el estudiante debe haber cursado y aprobado seis créditos del plan de estudios en el cual está matriculado [F1]. El criterio de selección utilizado es el promedio ponderado de calificaciones de todas las materias cursadas en el último periodo [F1].</x:v>
      </x:c>
      <x:c r="J9" s="12" t="str">
        <x:v>F1</x:v>
      </x:c>
      <x:c r="K9" s="12" t="str">
        <x:v>tec-admision-grado::article-39</x:v>
      </x:c>
      <x:c r="L9" s="12" t="str">
        <x:v>tec-admision-grado::article-39</x:v>
      </x:c>
      <x:c r="M9" s="12" t="str">
        <x:v>Sí</x:v>
      </x:c>
      <x:c r="N9" s="12" t="str">
        <x:v>Sí</x:v>
      </x:c>
      <x:c r="O9" s="12" t="str">
        <x:v>Sí</x:v>
      </x:c>
      <x:c r="P9" s="12" t="str">
        <x:v>No</x:v>
      </x:c>
      <x:c r="Q9" s="12" t="str"/>
      <x:c r="R9" s="12" t="str"/>
      <x:c r="S9" s="13" t="n">
        <x:v>21.922800000083953</x:v>
      </x:c>
      <x:c r="T9" s="13" t="n">
        <x:v>5461.951899999804</x:v>
      </x:c>
      <x:c r="U9" s="13" t="n">
        <x:v>5484.151899999688</x:v>
      </x:c>
      <x:c r="V9" s="13" t="n">
        <x:v>50.7820727741727</x:v>
      </x:c>
      <x:c r="W9" s="11" t="str">
        <x:v>rag-eval-20260728T135240-817764</x:v>
      </x:c>
    </x:row>
    <x:row r="10" ht="96" customHeight="1">
      <x:c r="A10" s="11" t="n">
        <x:v>9</x:v>
      </x:c>
      <x:c r="B10" s="11" t="str">
        <x:v>q009</x:v>
      </x:c>
      <x:c r="C10" s="11" t="str">
        <x:v>direct</x:v>
      </x:c>
      <x:c r="D10" s="11" t="str">
        <x:v>admisión_y_graduación</x:v>
      </x:c>
      <x:c r="E10" s="11" t="str">
        <x:v>Sí</x:v>
      </x:c>
      <x:c r="F10" s="12" t="str">
        <x:v>¿Cuál es el propósito de la Prueba de Aptitud Académica del TEC?</x:v>
      </x:c>
      <x:c r="G10" s="12" t="str">
        <x:v>Es un test psicoeducativo que busca contribuir a predecir el rendimiento académico de quienes solicitan ingreso y constituye uno de los criterios de admisión al TEC.</x:v>
      </x:c>
      <x:c r="H10" s="12" t="str">
        <x:v>answered</x:v>
      </x:c>
      <x:c r="I10" s="12" t="str">
        <x:v>El propósito de la prueba es contribuir a predecir el rendimiento académico de las personas que solicitan ingreso al ITCR [F1].</x:v>
      </x:c>
      <x:c r="J10" s="12" t="str">
        <x:v>F1</x:v>
      </x:c>
      <x:c r="K10" s="12" t="str">
        <x:v>tec-prueba-aptitud::article-3</x:v>
      </x:c>
      <x:c r="L10" s="12" t="str">
        <x:v>tec-prueba-aptitud::article-3</x:v>
      </x:c>
      <x:c r="M10" s="12" t="str">
        <x:v>Sí</x:v>
      </x:c>
      <x:c r="N10" s="12" t="str">
        <x:v>Sí</x:v>
      </x:c>
      <x:c r="O10" s="12" t="str">
        <x:v>Sí</x:v>
      </x:c>
      <x:c r="P10" s="12" t="str">
        <x:v>No</x:v>
      </x:c>
      <x:c r="Q10" s="12" t="str"/>
      <x:c r="R10" s="12" t="str"/>
      <x:c r="S10" s="13" t="n">
        <x:v>31.46119999973962</x:v>
      </x:c>
      <x:c r="T10" s="13" t="n">
        <x:v>3705.8736999997564</x:v>
      </x:c>
      <x:c r="U10" s="13" t="n">
        <x:v>3737.5529000000824</x:v>
      </x:c>
      <x:c r="V10" s="13" t="n">
        <x:v>43.52460304935749</x:v>
      </x:c>
      <x:c r="W10" s="11" t="str">
        <x:v>rag-eval-20260728T135240-817764</x:v>
      </x:c>
    </x:row>
    <x:row r="11" ht="96" customHeight="1">
      <x:c r="A11" s="11" t="n">
        <x:v>10</x:v>
      </x:c>
      <x:c r="B11" s="11" t="str">
        <x:v>q010</x:v>
      </x:c>
      <x:c r="C11" s="11" t="str">
        <x:v>direct</x:v>
      </x:c>
      <x:c r="D11" s="11" t="str">
        <x:v>admisión_y_graduación</x:v>
      </x:c>
      <x:c r="E11" s="11" t="str">
        <x:v>Sí</x:v>
      </x:c>
      <x:c r="F11" s="12" t="str">
        <x:v>¿Cuál es el promedio mínimo requerido en programas de grado para obtener graduación de honor?</x:v>
      </x:c>
      <x:c r="G11" s="12" t="str">
        <x:v>Se requiere un promedio final ponderado igual o superior a 90, incluyendo las asignaturas aprobadas por suficiencia.</x:v>
      </x:c>
      <x:c r="H11" s="12" t="str">
        <x:v>answered</x:v>
      </x:c>
      <x:c r="I11" s="12" t="str">
        <x:v>Para los programas de grado, la persona estudiante deberá tener un promedio final ponderado de calificaciones, con los créditos como factor de ponderado final, igual o superior a 90 [F1].</x:v>
      </x:c>
      <x:c r="J11" s="12" t="str">
        <x:v>F1</x:v>
      </x:c>
      <x:c r="K11" s="12" t="str">
        <x:v>tec-graduacion::article-7-ter</x:v>
      </x:c>
      <x:c r="L11" s="12" t="str">
        <x:v>tec-graduacion::article-7-ter</x:v>
      </x:c>
      <x:c r="M11" s="12" t="str">
        <x:v>Sí</x:v>
      </x:c>
      <x:c r="N11" s="12" t="str">
        <x:v>Sí</x:v>
      </x:c>
      <x:c r="O11" s="12" t="str">
        <x:v>Sí</x:v>
      </x:c>
      <x:c r="P11" s="12" t="str">
        <x:v>No</x:v>
      </x:c>
      <x:c r="Q11" s="12" t="str"/>
      <x:c r="R11" s="12" t="str"/>
      <x:c r="S11" s="13" t="n">
        <x:v>24.204899999858753</x:v>
      </x:c>
      <x:c r="T11" s="13" t="n">
        <x:v>4762.764799999786</x:v>
      </x:c>
      <x:c r="U11" s="13" t="n">
        <x:v>4787.180100000114</x:v>
      </x:c>
      <x:c r="V11" s="13" t="n">
        <x:v>50.216937168568215</x:v>
      </x:c>
      <x:c r="W11" s="11" t="str">
        <x:v>rag-eval-20260728T135240-817764</x:v>
      </x:c>
    </x:row>
    <x:row r="12" ht="96" customHeight="1">
      <x:c r="A12" s="11" t="n">
        <x:v>11</x:v>
      </x:c>
      <x:c r="B12" s="11" t="str">
        <x:v>q011</x:v>
      </x:c>
      <x:c r="C12" s="11" t="str">
        <x:v>direct</x:v>
      </x:c>
      <x:c r="D12" s="11" t="str">
        <x:v>admisión_y_graduación</x:v>
      </x:c>
      <x:c r="E12" s="11" t="str">
        <x:v>Sí</x:v>
      </x:c>
      <x:c r="F12" s="12" t="str">
        <x:v>¿Cuántos créditos puede valer un Trabajo Final de Graduación?</x:v>
      </x:c>
      <x:c r="G12" s="12" t="str">
        <x:v>Debe tener un valor mínimo de siete créditos y un máximo de doce créditos.</x:v>
      </x:c>
      <x:c r="H12" s="12" t="str">
        <x:v>answered</x:v>
      </x:c>
      <x:c r="I12" s="12" t="str">
        <x:v>Un Trabajo Final de Graduación debe tener un valor mínimo de siete créditos y un máximo de doce créditos [F1].</x:v>
      </x:c>
      <x:c r="J12" s="12" t="str">
        <x:v>F1</x:v>
      </x:c>
      <x:c r="K12" s="12" t="str">
        <x:v>tec-tfg-grado::article-7</x:v>
      </x:c>
      <x:c r="L12" s="12" t="str">
        <x:v>tec-tfg-grado::article-7</x:v>
      </x:c>
      <x:c r="M12" s="12" t="str">
        <x:v>Sí</x:v>
      </x:c>
      <x:c r="N12" s="12" t="str">
        <x:v>Sí</x:v>
      </x:c>
      <x:c r="O12" s="12" t="str">
        <x:v>Sí</x:v>
      </x:c>
      <x:c r="P12" s="12" t="str">
        <x:v>No</x:v>
      </x:c>
      <x:c r="Q12" s="12" t="str"/>
      <x:c r="R12" s="12" t="str"/>
      <x:c r="S12" s="13" t="n">
        <x:v>16.597899999851506</x:v>
      </x:c>
      <x:c r="T12" s="13" t="n">
        <x:v>4876.1113999999</x:v>
      </x:c>
      <x:c r="U12" s="13" t="n">
        <x:v>4892.884299999878</x:v>
      </x:c>
      <x:c r="V12" s="13" t="n">
        <x:v>50.24582771208136</x:v>
      </x:c>
      <x:c r="W12" s="11" t="str">
        <x:v>rag-eval-20260728T135240-817764</x:v>
      </x:c>
    </x:row>
    <x:row r="13" ht="96" customHeight="1">
      <x:c r="A13" s="11" t="n">
        <x:v>12</x:v>
      </x:c>
      <x:c r="B13" s="11" t="str">
        <x:v>q012</x:v>
      </x:c>
      <x:c r="C13" s="11" t="str">
        <x:v>direct</x:v>
      </x:c>
      <x:c r="D13" s="11" t="str">
        <x:v>admisión_y_graduación</x:v>
      </x:c>
      <x:c r="E13" s="11" t="str">
        <x:v>Sí</x:v>
      </x:c>
      <x:c r="F13" s="12" t="str">
        <x:v>¿Qué exigencias de idioma y autenticación se aplican a ciertos documentos extranjeros para reconocer o equiparar un grado o título?</x:v>
      </x:c>
      <x:c r="G13" s="12" t="str">
        <x:v>Los documentos señalados en los incisos b, c y ch deben traducirse al español y sus originales deben estar autenticados. Si no hay consulado de Costa Rica en el país emisor, puede utilizarse el procedimiento de terceros países.</x:v>
      </x:c>
      <x:c r="H13" s="12" t="str">
        <x:v>answered</x:v>
      </x:c>
      <x:c r="I13" s="12" t="str">
        <x:v>Los documentos deben ser traducidos al español [F2]. Los originales deben estar autenticados, salvo que la institución certifique una copia fiel y exacta avalada por una autoridad competente de dicha institución [F3]. La secuencia de autenticación incluye: firma autorizada de la Oficina Legal de la universidad donde se obtuvo el diploma; firma gubernamental del país (si es requerida); firma del Cónsul de Costa Rica en ese país; y finalmente, firma del Ministerio de Relaciones Exteriores y Culto de Costa Rica [F3].</x:v>
      </x:c>
      <x:c r="J13" s="12" t="str">
        <x:v>F2, F3</x:v>
      </x:c>
      <x:c r="K13" s="12" t="str">
        <x:v>tec-reconocimiento-grados-titulos::article-7
tec-reconocimiento-grados-titulos::article-8</x:v>
      </x:c>
      <x:c r="L13" s="12" t="str">
        <x:v>tec-reconocimiento-grados-titulos::article-7</x:v>
      </x:c>
      <x:c r="M13" s="12" t="str">
        <x:v>Sí</x:v>
      </x:c>
      <x:c r="N13" s="12" t="str">
        <x:v>Sí</x:v>
      </x:c>
      <x:c r="O13" s="12" t="str">
        <x:v>Sí</x:v>
      </x:c>
      <x:c r="P13" s="12" t="str">
        <x:v>No</x:v>
      </x:c>
      <x:c r="Q13" s="12" t="str"/>
      <x:c r="R13" s="12" t="str"/>
      <x:c r="S13" s="13" t="n">
        <x:v>18.090999999913038</x:v>
      </x:c>
      <x:c r="T13" s="13" t="n">
        <x:v>6514.003199999934</x:v>
      </x:c>
      <x:c r="U13" s="13" t="n">
        <x:v>6532.366899999943</x:v>
      </x:c>
      <x:c r="V13" s="13" t="n">
        <x:v>51.287565488915526</x:v>
      </x:c>
      <x:c r="W13" s="11" t="str">
        <x:v>rag-eval-20260728T135240-817764</x:v>
      </x:c>
    </x:row>
    <x:row r="14" ht="96" customHeight="1">
      <x:c r="A14" s="11" t="n">
        <x:v>13</x:v>
      </x:c>
      <x:c r="B14" s="11" t="str">
        <x:v>q013</x:v>
      </x:c>
      <x:c r="C14" s="11" t="str">
        <x:v>direct</x:v>
      </x:c>
      <x:c r="D14" s="11" t="str">
        <x:v>becas_y_apoyo</x:v>
      </x:c>
      <x:c r="E14" s="11" t="str">
        <x:v>Sí</x:v>
      </x:c>
      <x:c r="F14" s="12" t="str">
        <x:v>¿Cuál es el mínimo y el máximo de horas semanales que se pueden asignar a un estudiante asistente?</x:v>
      </x:c>
      <x:c r="G14" s="12" t="str">
        <x:v>Se pueden asignar como mínimo cinco y como máximo diez horas semanales.</x:v>
      </x:c>
      <x:c r="H14" s="12" t="str">
        <x:v>answered</x:v>
      </x:c>
      <x:c r="I14" s="12" t="str">
        <x:v>El mínimo de horas semanales que se podrán asignar a un estudiante por concepto de horas estudiante será de cinco, mientras que el máximo será de diez [F1]. Por otro lado, para estudiantes beneficiarios del reglamento de beca como Estudiante Asistente Especial, las horas por semana serán de un mínimo de diez y un máximo de veinte [F3].</x:v>
      </x:c>
      <x:c r="J14" s="12" t="str">
        <x:v>F1, F3</x:v>
      </x:c>
      <x:c r="K14" s="12" t="str">
        <x:v>tec-horas-estudiante-asistente::article-13
tec-beca-asistente-especial::article-12</x:v>
      </x:c>
      <x:c r="L14" s="12" t="str">
        <x:v>tec-horas-estudiante-asistente::article-13</x:v>
      </x:c>
      <x:c r="M14" s="12" t="str">
        <x:v>Sí</x:v>
      </x:c>
      <x:c r="N14" s="12" t="str">
        <x:v>Sí</x:v>
      </x:c>
      <x:c r="O14" s="12" t="str">
        <x:v>Sí</x:v>
      </x:c>
      <x:c r="P14" s="12" t="str">
        <x:v>No</x:v>
      </x:c>
      <x:c r="Q14" s="12" t="str"/>
      <x:c r="R14" s="12" t="str"/>
      <x:c r="S14" s="13" t="n">
        <x:v>17.412200000308076</x:v>
      </x:c>
      <x:c r="T14" s="13" t="n">
        <x:v>5347.9198</x:v>
      </x:c>
      <x:c r="U14" s="13" t="n">
        <x:v>5365.572000000157</x:v>
      </x:c>
      <x:c r="V14" s="13" t="n">
        <x:v>50.46933910400443</x:v>
      </x:c>
      <x:c r="W14" s="11" t="str">
        <x:v>rag-eval-20260728T135240-817764</x:v>
      </x:c>
    </x:row>
    <x:row r="15" ht="96" customHeight="1">
      <x:c r="A15" s="11" t="n">
        <x:v>14</x:v>
      </x:c>
      <x:c r="B15" s="11" t="str">
        <x:v>q014</x:v>
      </x:c>
      <x:c r="C15" s="11" t="str">
        <x:v>direct</x:v>
      </x:c>
      <x:c r="D15" s="11" t="str">
        <x:v>becas_y_apoyo</x:v>
      </x:c>
      <x:c r="E15" s="11" t="str">
        <x:v>Sí</x:v>
      </x:c>
      <x:c r="F15" s="12" t="str">
        <x:v>¿Cuál es el rango de horas semanales de una Beca Estudiante Asistente Especial?</x:v>
      </x:c>
      <x:c r="G15" s="12" t="str">
        <x:v>La persona beneficiaria puede dedicar un mínimo de diez y un máximo de veinte horas por semana.</x:v>
      </x:c>
      <x:c r="H15" s="12" t="str">
        <x:v>answered</x:v>
      </x:c>
      <x:c r="I15" s="12" t="str">
        <x:v>El rango de horas semanales que un(a) estudiante beneficiario(a) podrá dedicar para efectuar las actividades mencionadas en la Beca Estudiante Asistente Especial es de un mínimo de diez y un máximo de veinte [F1].</x:v>
      </x:c>
      <x:c r="J15" s="12" t="str">
        <x:v>F1</x:v>
      </x:c>
      <x:c r="K15" s="12" t="str">
        <x:v>tec-beca-asistente-especial::article-12</x:v>
      </x:c>
      <x:c r="L15" s="12" t="str">
        <x:v>tec-beca-asistente-especial::article-12</x:v>
      </x:c>
      <x:c r="M15" s="12" t="str">
        <x:v>Sí</x:v>
      </x:c>
      <x:c r="N15" s="12" t="str">
        <x:v>Sí</x:v>
      </x:c>
      <x:c r="O15" s="12" t="str">
        <x:v>Sí</x:v>
      </x:c>
      <x:c r="P15" s="12" t="str">
        <x:v>No</x:v>
      </x:c>
      <x:c r="Q15" s="12" t="str"/>
      <x:c r="R15" s="12" t="str"/>
      <x:c r="S15" s="13" t="n">
        <x:v>22.434599999996863</x:v>
      </x:c>
      <x:c r="T15" s="13" t="n">
        <x:v>4943.154799999775</x:v>
      </x:c>
      <x:c r="U15" s="13" t="n">
        <x:v>4965.801700000156</x:v>
      </x:c>
      <x:c r="V15" s="13" t="n">
        <x:v>49.920311032902625</x:v>
      </x:c>
      <x:c r="W15" s="11" t="str">
        <x:v>rag-eval-20260728T135240-817764</x:v>
      </x:c>
    </x:row>
    <x:row r="16" ht="96" customHeight="1">
      <x:c r="A16" s="11" t="n">
        <x:v>15</x:v>
      </x:c>
      <x:c r="B16" s="11" t="str">
        <x:v>q015</x:v>
      </x:c>
      <x:c r="C16" s="11" t="str">
        <x:v>direct</x:v>
      </x:c>
      <x:c r="D16" s="11" t="str">
        <x:v>becas_y_apoyo</x:v>
      </x:c>
      <x:c r="E16" s="11" t="str">
        <x:v>Sí</x:v>
      </x:c>
      <x:c r="F16" s="12" t="str">
        <x:v>¿Cuál es el máximo de horas semanales para un estudiante asistente de investigación o extensión y cuál es la excepción?</x:v>
      </x:c>
      <x:c r="G16" s="12" t="str">
        <x:v>El máximo ordinario es de veinte horas semanales. Quienes cursan un Trabajo Final de Graduación que forma parte de un proyecto de investigación o extensión inscrito en la VIE pueden dedicar hasta cuarenta horas semanales.</x:v>
      </x:c>
      <x:c r="H16" s="12" t="str">
        <x:v>answered</x:v>
      </x:c>
      <x:c r="I16" s="12" t="str">
        <x:v>El máximo de horas semanales permitido para los estudiantes asistentes a proyectos de investigación y extensión es de 20 horas, con una excepción que permite dedicar hasta 40 horas semanales a aquellos estudiantes que cursan trabajo final de graduación y forman parte de un proyecto inscrito en la VIE [F1].</x:v>
      </x:c>
      <x:c r="J16" s="12" t="str">
        <x:v>F1</x:v>
      </x:c>
      <x:c r="K16" s="12" t="str">
        <x:v>tec-beca-asistente-investigacion::article-11</x:v>
      </x:c>
      <x:c r="L16" s="12" t="str">
        <x:v>tec-beca-asistente-investigacion::article-11</x:v>
      </x:c>
      <x:c r="M16" s="12" t="str">
        <x:v>Sí</x:v>
      </x:c>
      <x:c r="N16" s="12" t="str">
        <x:v>Sí</x:v>
      </x:c>
      <x:c r="O16" s="12" t="str">
        <x:v>Sí</x:v>
      </x:c>
      <x:c r="P16" s="12" t="str">
        <x:v>No</x:v>
      </x:c>
      <x:c r="Q16" s="12" t="str"/>
      <x:c r="R16" s="12" t="str"/>
      <x:c r="S16" s="13" t="n">
        <x:v>16.84430000022985</x:v>
      </x:c>
      <x:c r="T16" s="13" t="n">
        <x:v>4991.882100000112</x:v>
      </x:c>
      <x:c r="U16" s="13" t="n">
        <x:v>5008.968300000106</x:v>
      </x:c>
      <x:c r="V16" s="13" t="n">
        <x:v>49.961966453037626</x:v>
      </x:c>
      <x:c r="W16" s="11" t="str">
        <x:v>rag-eval-20260728T135240-817764</x:v>
      </x:c>
    </x:row>
    <x:row r="17" ht="96" customHeight="1">
      <x:c r="A17" s="11" t="n">
        <x:v>16</x:v>
      </x:c>
      <x:c r="B17" s="11" t="str">
        <x:v>q016</x:v>
      </x:c>
      <x:c r="C17" s="11" t="str">
        <x:v>direct</x:v>
      </x:c>
      <x:c r="D17" s="11" t="str">
        <x:v>becas_y_apoyo</x:v>
      </x:c>
      <x:c r="E17" s="11" t="str">
        <x:v>Sí</x:v>
      </x:c>
      <x:c r="F17" s="12" t="str">
        <x:v>¿Qué programa recibe prioridad en la asignación de egresos del Fondo Solidario de Desarrollo Estudiantil?</x:v>
      </x:c>
      <x:c r="G17" s="12" t="str">
        <x:v>Se asignan prioritariamente recursos para cubrir el Programa de Becas y Préstamos.</x:v>
      </x:c>
      <x:c r="H17" s="12" t="str">
        <x:v>not_found</x:v>
      </x:c>
      <x:c r="I17" s="12" t="str">
        <x:v>No encontrado en el contexto.</x:v>
      </x:c>
      <x:c r="J17" s="12" t="str"/>
      <x:c r="K17" s="12" t="str"/>
      <x:c r="L17" s="12" t="str">
        <x:v>tec-fondo-solidario::article-18</x:v>
      </x:c>
      <x:c r="M17" s="12" t="str">
        <x:v>No</x:v>
      </x:c>
      <x:c r="N17" s="12" t="str">
        <x:v>No</x:v>
      </x:c>
      <x:c r="O17" s="12" t="str">
        <x:v>No</x:v>
      </x:c>
      <x:c r="P17" s="12" t="str">
        <x:v>No</x:v>
      </x:c>
      <x:c r="Q17" s="12" t="str"/>
      <x:c r="R17" s="12" t="str"/>
      <x:c r="S17" s="13" t="n">
        <x:v>26.666299999760668</x:v>
      </x:c>
      <x:c r="T17" s="13" t="n">
        <x:v>4069.180899999992</x:v>
      </x:c>
      <x:c r="U17" s="13" t="n">
        <x:v>4095.9506999997757</x:v>
      </x:c>
      <x:c r="V17" s="13" t="n">
        <x:v>46.07719850633082</x:v>
      </x:c>
      <x:c r="W17" s="11" t="str">
        <x:v>rag-eval-20260728T135240-817764</x:v>
      </x:c>
    </x:row>
    <x:row r="18" ht="96" customHeight="1">
      <x:c r="A18" s="11" t="n">
        <x:v>17</x:v>
      </x:c>
      <x:c r="B18" s="11" t="str">
        <x:v>q017</x:v>
      </x:c>
      <x:c r="C18" s="11" t="str">
        <x:v>direct</x:v>
      </x:c>
      <x:c r="D18" s="11" t="str">
        <x:v>becas_y_apoyo</x:v>
      </x:c>
      <x:c r="E18" s="11" t="str">
        <x:v>Sí</x:v>
      </x:c>
      <x:c r="F18" s="12" t="str">
        <x:v>¿Qué condiciones debe cumplir un estudiante para recibir financiamiento para actividades en el exterior?</x:v>
      </x:c>
      <x:c r="G18" s="12" t="str">
        <x:v>Debe demostrar participación destacada en el campo correspondiente, contar con algún financiamiento del organismo patrocinador, demostrar aprovechamiento académico y no haber sido sancionado por el Tribunal de Sanciones del ITCR.</x:v>
      </x:c>
      <x:c r="H18" s="12" t="str">
        <x:v>answered</x:v>
      </x:c>
      <x:c r="I18" s="12" t="str">
        <x:v>Para recibir financiamiento, el evento (actividad) debe estar dirigido a estudiantes de Diplomado o Bachillerato [F4], participar en actividades educativas, culturales o de desarrollo estudiantil en el exterior [F1], enmarcarse en el ámbito científico tecnológico, cultural o de desarrollo estudiantil y tener carácter internacional [F2]. Además, la actividad deberá propiciar el intercambio de experiencias o la adquisición de conocimientos [F5] y el estudiante beneficiario debe firmar un contrato que estipule sus derechos y obligaciones [F3].</x:v>
      </x:c>
      <x:c r="J18" s="12" t="str">
        <x:v>F1, F4, F2, F5, F3</x:v>
      </x:c>
      <x:c r="K18" s="12" t="str">
        <x:v>tec-financiamiento-exterior::article-2
tec-financiamiento-exterior::article-1
tec-financiamiento-exterior::article-13
tec-financiamiento-exterior::article-14
tec-financiamiento-exterior::article-18</x:v>
      </x:c>
      <x:c r="L18" s="12" t="str">
        <x:v>tec-financiamiento-exterior::article-11</x:v>
      </x:c>
      <x:c r="M18" s="12" t="str">
        <x:v>No</x:v>
      </x:c>
      <x:c r="N18" s="12" t="str">
        <x:v>No</x:v>
      </x:c>
      <x:c r="O18" s="12" t="str">
        <x:v>Sí</x:v>
      </x:c>
      <x:c r="P18" s="12" t="str">
        <x:v>No</x:v>
      </x:c>
      <x:c r="Q18" s="12" t="str"/>
      <x:c r="R18" s="12" t="str"/>
      <x:c r="S18" s="13" t="n">
        <x:v>24.81020000004719</x:v>
      </x:c>
      <x:c r="T18" s="13" t="n">
        <x:v>6225.964199999908</x:v>
      </x:c>
      <x:c r="U18" s="13" t="n">
        <x:v>6251.033399999869</x:v>
      </x:c>
      <x:c r="V18" s="13" t="n">
        <x:v>50.751673433556455</x:v>
      </x:c>
      <x:c r="W18" s="11" t="str">
        <x:v>rag-eval-20260728T135240-817764</x:v>
      </x:c>
    </x:row>
    <x:row r="19" ht="96" customHeight="1">
      <x:c r="A19" s="11" t="n">
        <x:v>18</x:v>
      </x:c>
      <x:c r="B19" s="11" t="str">
        <x:v>q018</x:v>
      </x:c>
      <x:c r="C19" s="11" t="str">
        <x:v>direct</x:v>
      </x:c>
      <x:c r="D19" s="11" t="str">
        <x:v>becas_y_apoyo</x:v>
      </x:c>
      <x:c r="E19" s="11" t="str">
        <x:v>Sí</x:v>
      </x:c>
      <x:c r="F19" s="12" t="str">
        <x:v>¿Qué gastos cubre la Beca Mauricio Campos y qué exoneración incluye?</x:v>
      </x:c>
      <x:c r="G19" s="12" t="str">
        <x:v>Asigna un monto mensual para alojamiento, alimentación, transporte y material didáctico, y exonera el pago de los créditos estudiantiles matriculados.</x:v>
      </x:c>
      <x:c r="H19" s="12" t="str">
        <x:v>answered</x:v>
      </x:c>
      <x:c r="I19" s="12" t="str">
        <x:v>La Beca Mauricio Campos cubre los gastos de alojamiento, alimentación, transporte y material didáctico [F1], además exonera del pago de los créditos estudiantiles matriculados [F1]. También consiste en una beca total que cubre la totalidad de los derechos de estudio y hasta el 100 % de otros costos de estudio [F4].</x:v>
      </x:c>
      <x:c r="J19" s="12" t="str">
        <x:v>F1, F4</x:v>
      </x:c>
      <x:c r="K19" s="12" t="str">
        <x:v>tec-beca-mauricio-campos::article-1
tec-becas-prestamos::article-22</x:v>
      </x:c>
      <x:c r="L19" s="12" t="str">
        <x:v>tec-beca-mauricio-campos::article-1</x:v>
      </x:c>
      <x:c r="M19" s="12" t="str">
        <x:v>Sí</x:v>
      </x:c>
      <x:c r="N19" s="12" t="str">
        <x:v>Sí</x:v>
      </x:c>
      <x:c r="O19" s="12" t="str">
        <x:v>Sí</x:v>
      </x:c>
      <x:c r="P19" s="12" t="str">
        <x:v>No</x:v>
      </x:c>
      <x:c r="Q19" s="12" t="str"/>
      <x:c r="R19" s="12" t="str"/>
      <x:c r="S19" s="13" t="n">
        <x:v>22.45790000006309</x:v>
      </x:c>
      <x:c r="T19" s="13" t="n">
        <x:v>5503.888799999913</x:v>
      </x:c>
      <x:c r="U19" s="13" t="n">
        <x:v>5526.597199999742</x:v>
      </x:c>
      <x:c r="V19" s="13" t="n">
        <x:v>49.88380008920397</x:v>
      </x:c>
      <x:c r="W19" s="11" t="str">
        <x:v>rag-eval-20260728T135240-817764</x:v>
      </x:c>
    </x:row>
    <x:row r="20" ht="96" customHeight="1">
      <x:c r="A20" s="11" t="n">
        <x:v>19</x:v>
      </x:c>
      <x:c r="B20" s="11" t="str">
        <x:v>q019</x:v>
      </x:c>
      <x:c r="C20" s="11" t="str">
        <x:v>direct</x:v>
      </x:c>
      <x:c r="D20" s="11" t="str">
        <x:v>gobierno_estudiantil</x:v>
      </x:c>
      <x:c r="E20" s="11" t="str">
        <x:v>Sí</x:v>
      </x:c>
      <x:c r="F20" s="12" t="str">
        <x:v>¿A más tardar cuándo debe darse la declaratoria oficial del proceso electoral estudiantil de la FEITEC?</x:v>
      </x:c>
      <x:c r="G20" s="12" t="str">
        <x:v>Debe darse a más tardar en la última semana de abril.</x:v>
      </x:c>
      <x:c r="H20" s="12" t="str">
        <x:v>answered</x:v>
      </x:c>
      <x:c r="I20" s="12" t="str">
        <x:v>La declaratoria oficial del proceso electoral deberá darse a más tardar la última semana de abril [F1].</x:v>
      </x:c>
      <x:c r="J20" s="12" t="str">
        <x:v>F1</x:v>
      </x:c>
      <x:c r="K20" s="12" t="str">
        <x:v>tec-codigo-electoral-estudiantil::article-11</x:v>
      </x:c>
      <x:c r="L20" s="12" t="str">
        <x:v>tec-codigo-electoral-estudiantil::article-11</x:v>
      </x:c>
      <x:c r="M20" s="12" t="str">
        <x:v>Sí</x:v>
      </x:c>
      <x:c r="N20" s="12" t="str">
        <x:v>Sí</x:v>
      </x:c>
      <x:c r="O20" s="12" t="str">
        <x:v>Sí</x:v>
      </x:c>
      <x:c r="P20" s="12" t="str">
        <x:v>No</x:v>
      </x:c>
      <x:c r="Q20" s="12" t="str"/>
      <x:c r="R20" s="12" t="str"/>
      <x:c r="S20" s="13" t="n">
        <x:v>24.90799999986848</x:v>
      </x:c>
      <x:c r="T20" s="13" t="n">
        <x:v>4422.959699999865</x:v>
      </x:c>
      <x:c r="U20" s="13" t="n">
        <x:v>4448.099900000216</x:v>
      </x:c>
      <x:c r="V20" s="13" t="n">
        <x:v>48.93696103802286</x:v>
      </x:c>
      <x:c r="W20" s="11" t="str">
        <x:v>rag-eval-20260728T135240-817764</x:v>
      </x:c>
    </x:row>
    <x:row r="21" ht="96" customHeight="1">
      <x:c r="A21" s="11" t="n">
        <x:v>20</x:v>
      </x:c>
      <x:c r="B21" s="11" t="str">
        <x:v>q020</x:v>
      </x:c>
      <x:c r="C21" s="11" t="str">
        <x:v>direct</x:v>
      </x:c>
      <x:c r="D21" s="11" t="str">
        <x:v>gobierno_estudiantil</x:v>
      </x:c>
      <x:c r="E21" s="11" t="str">
        <x:v>Sí</x:v>
      </x:c>
      <x:c r="F21" s="12" t="str">
        <x:v>¿Con cuánta anticipación debe el DAE convocar las sesiones ordinarias y extraordinarias del Plenario de Movimiento Estudiantil?</x:v>
      </x:c>
      <x:c r="G21" s="12" t="str">
        <x:v>Debe convocar las sesiones ordinarias con al menos siete días naturales de anticipación y las extraordinarias con al menos tres días naturales.</x:v>
      </x:c>
      <x:c r="H21" s="12" t="str">
        <x:v>answered</x:v>
      </x:c>
      <x:c r="I21" s="12" t="str">
        <x:v>Para las sesiones ordinarias, la convocatoria debe enviarse con al menos siete días naturales de anticipación [F1]. Para las sesiones extraordinarias, la convocatoria debe enviarse con al menos tres días naturales de anticipación [F1].</x:v>
      </x:c>
      <x:c r="J21" s="12" t="str">
        <x:v>F1</x:v>
      </x:c>
      <x:c r="K21" s="12" t="str">
        <x:v>tec-reglamento-superior-feitec::article-27</x:v>
      </x:c>
      <x:c r="L21" s="12" t="str">
        <x:v>tec-reglamento-superior-feitec::article-27</x:v>
      </x:c>
      <x:c r="M21" s="12" t="str">
        <x:v>Sí</x:v>
      </x:c>
      <x:c r="N21" s="12" t="str">
        <x:v>Sí</x:v>
      </x:c>
      <x:c r="O21" s="12" t="str">
        <x:v>Sí</x:v>
      </x:c>
      <x:c r="P21" s="12" t="str">
        <x:v>No</x:v>
      </x:c>
      <x:c r="Q21" s="12" t="str"/>
      <x:c r="R21" s="12" t="str"/>
      <x:c r="S21" s="13" t="n">
        <x:v>40.274699999827135</x:v>
      </x:c>
      <x:c r="T21" s="13" t="n">
        <x:v>4960.028200000124</x:v>
      </x:c>
      <x:c r="U21" s="13" t="n">
        <x:v>5000.513999999839</x:v>
      </x:c>
      <x:c r="V21" s="13" t="n">
        <x:v>50.50028703471969</x:v>
      </x:c>
      <x:c r="W21" s="11" t="str">
        <x:v>rag-eval-20260728T135240-817764</x:v>
      </x:c>
    </x:row>
    <x:row r="22" ht="96" customHeight="1">
      <x:c r="A22" s="11" t="n">
        <x:v>21</x:v>
      </x:c>
      <x:c r="B22" s="11" t="str">
        <x:v>q021</x:v>
      </x:c>
      <x:c r="C22" s="11" t="str">
        <x:v>direct</x:v>
      </x:c>
      <x:c r="D22" s="11" t="str">
        <x:v>gobierno_estudiantil</x:v>
      </x:c>
      <x:c r="E22" s="11" t="str">
        <x:v>Sí</x:v>
      </x:c>
      <x:c r="F22" s="12" t="str">
        <x:v>¿Cada cuánto sesiona ordinariamente el Directorio de Asambleas Estudiantiles y con qué anticipación se convocan sus sesiones?</x:v>
      </x:c>
      <x:c r="G22" s="12" t="str">
        <x:v>Sesiona ordinariamente cada quince días. La convocatoria ordinaria debe enviarse al menos cinco días naturales antes y la extraordinaria veinticuatro horas antes.</x:v>
      </x:c>
      <x:c r="H22" s="12" t="str">
        <x:v>answered</x:v>
      </x:c>
      <x:c r="I22" s="12" t="str">
        <x:v>El Directorio de Asambleas Estudiantiles (DAE) sesiona cada quince días de manera ordinaria, en donde la convocatoria debe enviarse con al menos 5 días naturales de anticipación [F1].</x:v>
      </x:c>
      <x:c r="J22" s="12" t="str">
        <x:v>F1</x:v>
      </x:c>
      <x:c r="K22" s="12" t="str">
        <x:v>tec-directorio-asambleas-estudiantiles::article-19</x:v>
      </x:c>
      <x:c r="L22" s="12" t="str">
        <x:v>tec-directorio-asambleas-estudiantiles::article-19</x:v>
      </x:c>
      <x:c r="M22" s="12" t="str">
        <x:v>Sí</x:v>
      </x:c>
      <x:c r="N22" s="12" t="str">
        <x:v>Sí</x:v>
      </x:c>
      <x:c r="O22" s="12" t="str">
        <x:v>Sí</x:v>
      </x:c>
      <x:c r="P22" s="12" t="str">
        <x:v>No</x:v>
      </x:c>
      <x:c r="Q22" s="12" t="str"/>
      <x:c r="R22" s="12" t="str"/>
      <x:c r="S22" s="13" t="n">
        <x:v>27.823699999771634</x:v>
      </x:c>
      <x:c r="T22" s="13" t="n">
        <x:v>4678.330100000039</x:v>
      </x:c>
      <x:c r="U22" s="13" t="n">
        <x:v>4706.359700000121</x:v>
      </x:c>
      <x:c r="V22" s="13" t="n">
        <x:v>50.23315914019379</x:v>
      </x:c>
      <x:c r="W22" s="11" t="str">
        <x:v>rag-eval-20260728T135240-817764</x:v>
      </x:c>
    </x:row>
    <x:row r="23" ht="96" customHeight="1">
      <x:c r="A23" s="11" t="n">
        <x:v>22</x:v>
      </x:c>
      <x:c r="B23" s="11" t="str">
        <x:v>q022</x:v>
      </x:c>
      <x:c r="C23" s="11" t="str">
        <x:v>direct</x:v>
      </x:c>
      <x:c r="D23" s="11" t="str">
        <x:v>comunicación_institucional</x:v>
      </x:c>
      <x:c r="E23" s="11" t="str">
        <x:v>Sí</x:v>
      </x:c>
      <x:c r="F23" s="12" t="str">
        <x:v>¿Cuándo se considera recibida una comunicación enviada al correo institucional y qué ocurre si se usa un correo particular?</x:v>
      </x:c>
      <x:c r="G23" s="12" t="str">
        <x:v>La comunicación se considera recibida al finalizar el día hábil siguiente a su entrega en el buzón institucional. Si el correo registrado es particular y no institucional, la gestión es nula por carecer de oficialidad.</x:v>
      </x:c>
      <x:c r="H23" s="12" t="str">
        <x:v>answered</x:v>
      </x:c>
      <x:c r="I23" s="12" t="str">
        <x:v>Una comunicación enviada a una cuenta de correo electrónico institucional se da por recibida al finalizar el día hábil siguiente a su entrega en el buzón [F2]. Si se utiliza un correo registrado que es particular y no institucional, dicha comunicación será nula de pleno por carecer de oficialidad [F2].</x:v>
      </x:c>
      <x:c r="J23" s="12" t="str">
        <x:v>F2</x:v>
      </x:c>
      <x:c r="K23" s="12" t="str">
        <x:v>tec-correo-electronico::article-5</x:v>
      </x:c>
      <x:c r="L23" s="12" t="str">
        <x:v>tec-correo-electronico::article-5</x:v>
      </x:c>
      <x:c r="M23" s="12" t="str">
        <x:v>Sí</x:v>
      </x:c>
      <x:c r="N23" s="12" t="str">
        <x:v>Sí</x:v>
      </x:c>
      <x:c r="O23" s="12" t="str">
        <x:v>Sí</x:v>
      </x:c>
      <x:c r="P23" s="12" t="str">
        <x:v>No</x:v>
      </x:c>
      <x:c r="Q23" s="12" t="str"/>
      <x:c r="R23" s="12" t="str"/>
      <x:c r="S23" s="13" t="n">
        <x:v>28.14489999991565</x:v>
      </x:c>
      <x:c r="T23" s="13" t="n">
        <x:v>5084.928299999774</x:v>
      </x:c>
      <x:c r="U23" s="13" t="n">
        <x:v>5113.335000000006</x:v>
      </x:c>
      <x:c r="V23" s="13" t="n">
        <x:v>50.036623191070575</x:v>
      </x:c>
      <x:c r="W23" s="11" t="str">
        <x:v>rag-eval-20260728T135240-817764</x:v>
      </x:c>
    </x:row>
    <x:row r="24" ht="96" customHeight="1">
      <x:c r="A24" s="11" t="n">
        <x:v>23</x:v>
      </x:c>
      <x:c r="B24" s="11" t="str">
        <x:v>q023</x:v>
      </x:c>
      <x:c r="C24" s="11" t="str">
        <x:v>direct</x:v>
      </x:c>
      <x:c r="D24" s="11" t="str">
        <x:v>derechos_y_convivencia</x:v>
      </x:c>
      <x:c r="E24" s="11" t="str">
        <x:v>Sí</x:v>
      </x:c>
      <x:c r="F24" s="12" t="str">
        <x:v>¿Ante cuál instancia y en qué forma debe presentarse una denuncia por hostigamiento sexual?</x:v>
      </x:c>
      <x:c r="G24" s="12" t="str">
        <x:v>Debe presentarse ante la Fiscalía contra el Hostigamiento Sexual, en forma escrita, con la identificación de las partes, una descripción precisa de los hechos, fechas, posibles testigos, pruebas, un medio para notificaciones, fecha y firmas correspondientes.</x:v>
      </x:c>
      <x:c r="H24" s="12" t="str">
        <x:v>answered</x:v>
      </x:c>
      <x:c r="I24" s="12" t="str">
        <x:v>La denuncia debe interponerse ante la Fiscalía contra el Hostigamiento Sexual [F3]. Debe presentarse en forma escrita e indicar: nombre completo, número de cédula y dependencia del denunciante; nombre, número de cédula y dependencia de la persona denunciada; lugar y descripción precisa de los hechos ocurridos; fechas de inicio y último hecho; nombres de testigos; cualquier prueba indiciaria o directa que sirva para comprobar los hechos; una dirección física dentro del perímetro del ITCR (o un kilómetro a la redonda), número de Fax, correo electrónico u oficina donde recibir notificaciones; fecha y firma en el acta por parte de la persona denunciante y de la persona Fiscal [F3].</x:v>
      </x:c>
      <x:c r="J24" s="12" t="str">
        <x:v>F3</x:v>
      </x:c>
      <x:c r="K24" s="12" t="str">
        <x:v>tec-hostigamiento-sexual::article-27</x:v>
      </x:c>
      <x:c r="L24" s="12" t="str">
        <x:v>tec-hostigamiento-sexual::article-27</x:v>
      </x:c>
      <x:c r="M24" s="12" t="str">
        <x:v>Sí</x:v>
      </x:c>
      <x:c r="N24" s="12" t="str">
        <x:v>Sí</x:v>
      </x:c>
      <x:c r="O24" s="12" t="str">
        <x:v>Sí</x:v>
      </x:c>
      <x:c r="P24" s="12" t="str">
        <x:v>No</x:v>
      </x:c>
      <x:c r="Q24" s="12" t="str"/>
      <x:c r="R24" s="12" t="str"/>
      <x:c r="S24" s="13" t="n">
        <x:v>19.15999999982887</x:v>
      </x:c>
      <x:c r="T24" s="13" t="n">
        <x:v>7344.014100000095</x:v>
      </x:c>
      <x:c r="U24" s="13" t="n">
        <x:v>7363.624200000231</x:v>
      </x:c>
      <x:c r="V24" s="13" t="n">
        <x:v>50.713245575269326</x:v>
      </x:c>
      <x:c r="W24" s="11" t="str">
        <x:v>rag-eval-20260728T135240-817764</x:v>
      </x:c>
    </x:row>
    <x:row r="25" ht="96" customHeight="1">
      <x:c r="A25" s="11" t="n">
        <x:v>24</x:v>
      </x:c>
      <x:c r="B25" s="11" t="str">
        <x:v>q024</x:v>
      </x:c>
      <x:c r="C25" s="11" t="str">
        <x:v>direct</x:v>
      </x:c>
      <x:c r="D25" s="11" t="str">
        <x:v>derechos_y_convivencia</x:v>
      </x:c>
      <x:c r="E25" s="11" t="str">
        <x:v>Sí</x:v>
      </x:c>
      <x:c r="F25" s="12" t="str">
        <x:v>¿Cómo puede presentarse una denuncia por discriminación por orientación sexual, identidad o expresión de género?</x:v>
      </x:c>
      <x:c r="G25" s="12" t="str">
        <x:v>Se presenta ante la Fiscalía contra la discriminación por orientación sexual, identidad y expresión de género. Puede entregarse presencialmente o firmarse digitalmente cuando corresponda, y debe llevar las firmas de la persona denunciante y de quien la recibe, además de la información requerida.</x:v>
      </x:c>
      <x:c r="H25" s="12" t="str">
        <x:v>answered</x:v>
      </x:c>
      <x:c r="I25" s="12" t="str">
        <x:v>La denuncia se presenta ante la Fiscalía contra la discriminación por orientación sexual, identidad y expresión de género. Puede ser presencialmente o firmada digitalmente si el caso lo amerita [F1]. Debe estar firmada tanto por quien interpone la denuncia como por quien recibe la misma [F1], e incluir datos específicos del denunciante, denunciado, relación entre partes, descripción detallada de los hechos con fecha y lugar, pruebas disponibles, testigos potenciales, solicitud de medidas cautelares si corresponde, dirección para notificaciones y firmas correspondientes [F1].</x:v>
      </x:c>
      <x:c r="J25" s="12" t="str">
        <x:v>F1</x:v>
      </x:c>
      <x:c r="K25" s="12" t="str">
        <x:v>tec-no-discriminacion::article-30</x:v>
      </x:c>
      <x:c r="L25" s="12" t="str">
        <x:v>tec-no-discriminacion::article-30</x:v>
      </x:c>
      <x:c r="M25" s="12" t="str">
        <x:v>Sí</x:v>
      </x:c>
      <x:c r="N25" s="12" t="str">
        <x:v>Sí</x:v>
      </x:c>
      <x:c r="O25" s="12" t="str">
        <x:v>Sí</x:v>
      </x:c>
      <x:c r="P25" s="12" t="str">
        <x:v>No</x:v>
      </x:c>
      <x:c r="Q25" s="12" t="str"/>
      <x:c r="R25" s="12" t="str"/>
      <x:c r="S25" s="13" t="n">
        <x:v>23.114600000099017</x:v>
      </x:c>
      <x:c r="T25" s="13" t="n">
        <x:v>6275.792100000217</x:v>
      </x:c>
      <x:c r="U25" s="13" t="n">
        <x:v>6299.185599999873</x:v>
      </x:c>
      <x:c r="V25" s="13" t="n">
        <x:v>51.1303183990195</x:v>
      </x:c>
      <x:c r="W25" s="11" t="str">
        <x:v>rag-eval-20260728T135240-817764</x:v>
      </x:c>
    </x:row>
    <x:row r="26" ht="96" customHeight="1">
      <x:c r="A26" s="11" t="n">
        <x:v>25</x:v>
      </x:c>
      <x:c r="B26" s="11" t="str">
        <x:v>q025</x:v>
      </x:c>
      <x:c r="C26" s="11" t="str">
        <x:v>direct</x:v>
      </x:c>
      <x:c r="D26" s="11" t="str">
        <x:v>gobierno_estudiantil</x:v>
      </x:c>
      <x:c r="E26" s="11" t="str">
        <x:v>Sí</x:v>
      </x:c>
      <x:c r="F26" s="12" t="str">
        <x:v>¿Cómo se realiza la votación para elegir al tercer representante estudiantil ante el Consejo Institucional?</x:v>
      </x:c>
      <x:c r="G26" s="12" t="str">
        <x:v>La votación se realiza mediante sufragio universal y público.</x:v>
      </x:c>
      <x:c r="H26" s="12" t="str">
        <x:v>error</x:v>
      </x:c>
      <x:c r="I26" s="12" t="str">
        <x:v>La votación para elegir al Tercer Representante Estudiantil ante el Consejo Institucional se realiza por medio del sufragio universal y público [F4]. En caso de existir más de un candidato, quien obtenga el segundo lugar pasará a ser el suplente [F3]. La elección debe regirse según lo establecido en el Reglamento para la Elección del Tercer Representante y Tercer Suplente Estudiantil ante el Consejo Institucional [F2], cumpliendo además con los requisitos estipulados en sus artículos 14 y 15 (para el suplente) [F1].</x:v>
      </x:c>
      <x:c r="J26" s="12" t="str">
        <x:v>F3, F4</x:v>
      </x:c>
      <x:c r="K26" s="12" t="str">
        <x:v>tec-tercer-representante-estudiantil::article-25
tec-tercer-representante-estudiantil::article-18</x:v>
      </x:c>
      <x:c r="L26" s="12" t="str">
        <x:v>tec-tercer-representante-estudiantil::article-18</x:v>
      </x:c>
      <x:c r="M26" s="12" t="str">
        <x:v>Sí</x:v>
      </x:c>
      <x:c r="N26" s="12" t="str">
        <x:v>No</x:v>
      </x:c>
      <x:c r="O26" s="12" t="str">
        <x:v>No</x:v>
      </x:c>
      <x:c r="P26" s="12" t="str">
        <x:v>Sí</x:v>
      </x:c>
      <x:c r="Q26" s="12" t="str">
        <x:v>Las citas del texto y del campo citations no coinciden.</x:v>
      </x:c>
      <x:c r="R26" s="12" t="str">
        <x:v>{"status": "answered", "answer": "La votación para elegir al Tercer Representante Estudiantil ante el Consejo Institucional se realiza por medio del sufragio universal y público [F4]. En caso de existir más de un candidato, quien obtenga el segundo lugar pasará a ser el suplente [F3]. La elección debe regirse según lo establecido en el Reglamento para la Elección del Tercer Representante y Tercer Suplente Estudiantil ante el Consejo Institucional [F2], cumpliendo además con los requisitos estipulados en sus artículos 14 y 15 (para el suplente) [F1].", "citations": ["F3", "F4"]}</x:v>
      </x:c>
      <x:c r="S26" s="13" t="n">
        <x:v>26.492899999993824</x:v>
      </x:c>
      <x:c r="T26" s="13"/>
      <x:c r="U26" s="13" t="n">
        <x:v>6321.148099999846</x:v>
      </x:c>
      <x:c r="V26" s="13"/>
      <x:c r="W26" s="11" t="str">
        <x:v>rag-eval-20260728T135240-817764</x:v>
      </x:c>
    </x:row>
    <x:row r="27" ht="96" customHeight="1">
      <x:c r="A27" s="11" t="n">
        <x:v>26</x:v>
      </x:c>
      <x:c r="B27" s="11" t="str">
        <x:v>q026</x:v>
      </x:c>
      <x:c r="C27" s="11" t="str">
        <x:v>multi_section</x:v>
      </x:c>
      <x:c r="D27" s="11" t="str">
        <x:v>admisión_y_graduación</x:v>
      </x:c>
      <x:c r="E27" s="11" t="str">
        <x:v>Sí</x:v>
      </x:c>
      <x:c r="F27" s="12" t="str">
        <x:v>¿Cómo se solicita un cambio de carrera, qué requisito académico se exige y qué criterio se usa para asignar los cupos?</x:v>
      </x:c>
      <x:c r="G27" s="12" t="str">
        <x:v>La solicitud debe presentarse por escrito al Departamento de Admisión y Registro durante el periodo fijado en el Calendario Institucional y Académico. La persona debe haber cursado y aprobado seis créditos de su plan actual. Los cupos se asignan según el promedio ponderado de las materias del último periodo; cada carrera admite por esta vía hasta un 5 % de su cupo inicial, salvo que existan cupos para aumentar el porcentaje.</x:v>
      </x:c>
      <x:c r="H27" s="12" t="str">
        <x:v>answered</x:v>
      </x:c>
      <x:c r="I27" s="12" t="str">
        <x:v>Para solicitar el cambio de carrera, la persona estudiante debe hacerlo por escrito al Departamento de Admisión y Registro dentro del período señalado en el Calendario Institucional y Académico [F1]. El requisito académico exigido es haber cursado y aprobado seis créditos del plan de estudios actualizado [F3], utilizando como criterio de selección el promedio ponderado de calificaciones de todas las materias cursadas en el último periodo [F3]. Los cupos para cambio se asignan con un límite máximo inicial del 5% del cupo inicial de la carrera, pudiendo incrementarse si existen cupos disponibles [F1].</x:v>
      </x:c>
      <x:c r="J27" s="12" t="str">
        <x:v>F1, F3</x:v>
      </x:c>
      <x:c r="K27" s="12" t="str">
        <x:v>tec-admision-grado::article-38
tec-admision-grado::article-39</x:v>
      </x:c>
      <x:c r="L27" s="12" t="str">
        <x:v>tec-admision-grado::article-38
tec-admision-grado::article-39</x:v>
      </x:c>
      <x:c r="M27" s="12" t="str">
        <x:v>Sí</x:v>
      </x:c>
      <x:c r="N27" s="12" t="str">
        <x:v>Sí</x:v>
      </x:c>
      <x:c r="O27" s="12" t="str">
        <x:v>Sí</x:v>
      </x:c>
      <x:c r="P27" s="12" t="str">
        <x:v>No</x:v>
      </x:c>
      <x:c r="Q27" s="12" t="str"/>
      <x:c r="R27" s="12" t="str"/>
      <x:c r="S27" s="13" t="n">
        <x:v>17.662600000221573</x:v>
      </x:c>
      <x:c r="T27" s="13" t="n">
        <x:v>6779.296400000021</x:v>
      </x:c>
      <x:c r="U27" s="13" t="n">
        <x:v>6797.285000000102</x:v>
      </x:c>
      <x:c r="V27" s="13" t="n">
        <x:v>51.023961044649816</x:v>
      </x:c>
      <x:c r="W27" s="11" t="str">
        <x:v>rag-eval-20260728T135240-817764</x:v>
      </x:c>
    </x:row>
    <x:row r="28" ht="96" customHeight="1">
      <x:c r="A28" s="11" t="n">
        <x:v>27</x:v>
      </x:c>
      <x:c r="B28" s="11" t="str">
        <x:v>q027</x:v>
      </x:c>
      <x:c r="C28" s="11" t="str">
        <x:v>multi_section</x:v>
      </x:c>
      <x:c r="D28" s="11" t="str">
        <x:v>admisión_y_graduación</x:v>
      </x:c>
      <x:c r="E28" s="11" t="str">
        <x:v>Sí</x:v>
      </x:c>
      <x:c r="F28" s="12" t="str">
        <x:v>¿Qué condiciones académicas y disciplinarias debe cumplir una persona de grado para obtener graduación de honor?</x:v>
      </x:c>
      <x:c r="G28" s="12" t="str">
        <x:v>Debe haberse distinguido permanentemente en su actividad académica, no haber reprobado ninguna asignatura, no haber recibido sanciones disciplinarias y alcanzar un promedio final ponderado igual o superior a 90, incluyendo las asignaturas aprobadas por suficiencia.</x:v>
      </x:c>
      <x:c r="H28" s="12" t="str">
        <x:v>answered</x:v>
      </x:c>
      <x:c r="I28" s="12" t="str">
        <x:v>Para obtener la distinción en programas de grado, el estudiante no puede haber reprobado ninguna asignatura del plan de estudios [F1], no debe tener sanciones disciplinarias durante toda su permanencia en la institución [F1] y debe contar con un promedio final ponderado igual o superior a 90 (incluyendo las aprobadas por suficiencia) [F2].</x:v>
      </x:c>
      <x:c r="J28" s="12" t="str">
        <x:v>F1, F2</x:v>
      </x:c>
      <x:c r="K28" s="12" t="str">
        <x:v>tec-graduacion::article-7-bis
tec-graduacion::article-7-ter</x:v>
      </x:c>
      <x:c r="L28" s="12" t="str">
        <x:v>tec-graduacion::article-7-bis
tec-graduacion::article-7-ter</x:v>
      </x:c>
      <x:c r="M28" s="12" t="str">
        <x:v>Sí</x:v>
      </x:c>
      <x:c r="N28" s="12" t="str">
        <x:v>Sí</x:v>
      </x:c>
      <x:c r="O28" s="12" t="str">
        <x:v>Sí</x:v>
      </x:c>
      <x:c r="P28" s="12" t="str">
        <x:v>No</x:v>
      </x:c>
      <x:c r="Q28" s="12" t="str"/>
      <x:c r="R28" s="12" t="str"/>
      <x:c r="S28" s="13" t="n">
        <x:v>17.38740000018879</x:v>
      </x:c>
      <x:c r="T28" s="13" t="n">
        <x:v>5423.105200000009</x:v>
      </x:c>
      <x:c r="U28" s="13" t="n">
        <x:v>5440.743599999678</x:v>
      </x:c>
      <x:c r="V28" s="13" t="n">
        <x:v>50.66115287896901</x:v>
      </x:c>
      <x:c r="W28" s="11" t="str">
        <x:v>rag-eval-20260728T135240-817764</x:v>
      </x:c>
    </x:row>
    <x:row r="29" ht="96" customHeight="1">
      <x:c r="A29" s="11" t="n">
        <x:v>28</x:v>
      </x:c>
      <x:c r="B29" s="11" t="str">
        <x:v>q028</x:v>
      </x:c>
      <x:c r="C29" s="11" t="str">
        <x:v>multi_section</x:v>
      </x:c>
      <x:c r="D29" s="11" t="str">
        <x:v>becas_y_apoyo</x:v>
      </x:c>
      <x:c r="E29" s="11" t="str">
        <x:v>Sí</x:v>
      </x:c>
      <x:c r="F29" s="12" t="str">
        <x:v>¿Cómo cambian los límites de horas semanales entre un estudiante asistente, un asistente especial y un asistente de investigación o extensión?</x:v>
      </x:c>
      <x:c r="G29" s="12" t="str">
        <x:v>El estudiante asistente tiene un rango de cinco a diez horas semanales; el asistente especial, de diez a veinte; y el asistente de investigación o extensión tiene un máximo de veinte. En este último caso, puede llegar a cuarenta horas si cursa un Trabajo Final de Graduación vinculado a un proyecto inscrito en la VIE.</x:v>
      </x:c>
      <x:c r="H29" s="12" t="str">
        <x:v>error</x:v>
      </x:c>
      <x:c r="I29" s="12" t="str">
        <x:v>Los estudiantes asistentes especiales pueden dedicar entre 10 y 20 horas por semana [F5]. Los estudiantes que participan como Estudiantes Asistentes para Proyectos de Investigación y Extensión (no asistente especial) pueden dedicarse hasta un máximo de 40 horas semanalmente, con una excepción general de 20 horas máximas; los investigadores responsables establecen las especificaciones particulares [F3]. El reglamento sobre asignación de horas establece que el mínimo es de cinco y el máximo de diez horas semanales para ciertos conceptos de asistencia en la oficina o fuera de ella [F4], mientras que otro documento indica un horario específico por proyecto con alcances definidos por el responsable del mismo [F1].</x:v>
      </x:c>
      <x:c r="J29" s="12" t="str">
        <x:v>F5, F3, F4</x:v>
      </x:c>
      <x:c r="K29" s="12" t="str">
        <x:v>tec-beca-asistente-especial::article-12
tec-beca-asistente-investigacion::article-11
tec-horas-estudiante-asistente::article-13</x:v>
      </x:c>
      <x:c r="L29" s="12" t="str">
        <x:v>tec-horas-estudiante-asistente::article-13
tec-beca-asistente-especial::article-12
tec-beca-asistente-investigacion::article-11</x:v>
      </x:c>
      <x:c r="M29" s="12" t="str">
        <x:v>Sí</x:v>
      </x:c>
      <x:c r="N29" s="12" t="str">
        <x:v>No</x:v>
      </x:c>
      <x:c r="O29" s="12" t="str">
        <x:v>No</x:v>
      </x:c>
      <x:c r="P29" s="12" t="str">
        <x:v>Sí</x:v>
      </x:c>
      <x:c r="Q29" s="12" t="str">
        <x:v>Las citas del texto y del campo citations no coinciden.</x:v>
      </x:c>
      <x:c r="R29" s="12" t="str">
        <x:v>{"status": "answered", "answer": "Los estudiantes asistentes especiales pueden dedicar entre 10 y 20 horas por semana [F5]. Los estudiantes que participan como Estudiantes Asistentes para Proyectos de Investigación y Extensión (no asistente especial) pueden dedicarse hasta un máximo de 40 horas semanalmente, con una excepción general de 20 horas máximas; los investigadores responsables establecen las especificaciones particulares [F3]. El reglamento sobre asignación de horas establece que el mínimo es de cinco y el máximo de diez horas semanales para ciertos conceptos de asistencia en la oficina o fuera de ella [F4], mientras que otro documento indica un horario específico por proyecto con alcances definidos por el responsable del mismo [F1].", "citations": ["F5", "F3", "F4"]}</x:v>
      </x:c>
      <x:c r="S29" s="13" t="n">
        <x:v>20.54050000015195</x:v>
      </x:c>
      <x:c r="T29" s="13"/>
      <x:c r="U29" s="13" t="n">
        <x:v>7568.682299999637</x:v>
      </x:c>
      <x:c r="V29" s="13"/>
      <x:c r="W29" s="11" t="str">
        <x:v>rag-eval-20260728T135240-817764</x:v>
      </x:c>
    </x:row>
    <x:row r="30" ht="96" customHeight="1">
      <x:c r="A30" s="11" t="n">
        <x:v>29</x:v>
      </x:c>
      <x:c r="B30" s="11" t="str">
        <x:v>q029</x:v>
      </x:c>
      <x:c r="C30" s="11" t="str">
        <x:v>multi_section</x:v>
      </x:c>
      <x:c r="D30" s="11" t="str">
        <x:v>comunicación_institucional</x:v>
      </x:c>
      <x:c r="E30" s="11" t="str">
        <x:v>Sí</x:v>
      </x:c>
      <x:c r="F30" s="12" t="str">
        <x:v>Si una persona estudiante solicita por correo la reposición de una evaluación, ¿qué plazo tiene, qué cuenta debe usar y cuándo se considera recibida la solicitud?</x:v>
      </x:c>
      <x:c r="G30" s="12" t="str">
        <x:v>Debe enviarla dentro de los tres días hábiles siguientes a la evaluación y usar su cuenta oficial institucional. La comunicación se considera recibida al finalizar el día hábil siguiente a su entrega en el buzón institucional; usar un correo particular carece de oficialidad.</x:v>
      </x:c>
      <x:c r="H30" s="12" t="str">
        <x:v>not_found</x:v>
      </x:c>
      <x:c r="I30" s="12" t="str">
        <x:v>No encontrado en el contexto.</x:v>
      </x:c>
      <x:c r="J30" s="12" t="str"/>
      <x:c r="K30" s="12" t="str"/>
      <x:c r="L30" s="12" t="str">
        <x:v>tec-rrea-2025::article-66
tec-correo-electronico::article-5</x:v>
      </x:c>
      <x:c r="M30" s="12" t="str">
        <x:v>Sí</x:v>
      </x:c>
      <x:c r="N30" s="12" t="str">
        <x:v>No</x:v>
      </x:c>
      <x:c r="O30" s="12" t="str">
        <x:v>No</x:v>
      </x:c>
      <x:c r="P30" s="12" t="str">
        <x:v>No</x:v>
      </x:c>
      <x:c r="Q30" s="12" t="str"/>
      <x:c r="R30" s="12" t="str"/>
      <x:c r="S30" s="13" t="n">
        <x:v>22.60119999982635</x:v>
      </x:c>
      <x:c r="T30" s="13" t="n">
        <x:v>4548.927399999684</x:v>
      </x:c>
      <x:c r="U30" s="13" t="n">
        <x:v>4571.625200000199</x:v>
      </x:c>
      <x:c r="V30" s="13" t="n">
        <x:v>49.29811804434366</x:v>
      </x:c>
      <x:c r="W30" s="11" t="str">
        <x:v>rag-eval-20260728T135240-817764</x:v>
      </x:c>
    </x:row>
    <x:row r="31" ht="96" customHeight="1">
      <x:c r="A31" s="11" t="n">
        <x:v>30</x:v>
      </x:c>
      <x:c r="B31" s="11" t="str">
        <x:v>q030</x:v>
      </x:c>
      <x:c r="C31" s="11" t="str">
        <x:v>multi_section</x:v>
      </x:c>
      <x:c r="D31" s="11" t="str">
        <x:v>admisión_y_graduación</x:v>
      </x:c>
      <x:c r="E31" s="11" t="str">
        <x:v>Sí</x:v>
      </x:c>
      <x:c r="F31" s="12" t="str">
        <x:v>¿Cuáles de los documentos requeridos para reconocer o equiparar un título extranjero deben traducirse y autenticarse?</x:v>
      </x:c>
      <x:c r="G31" s="12" t="str">
        <x:v>Deben traducirse al español y autenticarse los originales del diploma o documento equivalente, la certificación oficial de calificaciones y la certificación o constancia de que la institución está autorizada para emitir el diploma y de que el título y grado habilitan legalmente a la persona solicitante.</x:v>
      </x:c>
      <x:c r="H31" s="12" t="str">
        <x:v>answered</x:v>
      </x:c>
      <x:c r="I31" s="12" t="str">
        <x:v>Los documentos que requieren traducción al español son aquellos emitidos en otro idioma, específicamente si no se ha estipulado en el convenio de movilidad un idioma distinto [F3]. Los títulos extranjeros deben estar autenticados; la secuencia incluye firma de la Oficina Legal de la universidad extranjera, aval gubernamental del país de origen (si lo requiere el Consulado), y firma del Cónsul o Ministerio de Relaciones Exteriores de Costa Rica según corresponda [F1][F5]. Además, para posgrados se exige original y copia del diploma de grado académico previo si es extranjero, debiendo estar autenticado [F2].</x:v>
      </x:c>
      <x:c r="J31" s="12" t="str">
        <x:v>F1, F2, F3, F5</x:v>
      </x:c>
      <x:c r="K31" s="12" t="str">
        <x:v>tec-reconocimiento-grados-titulos::article-7
tec-reconocimiento-grados-titulos::article-6
tec-equiparacion-asignaturas::article-15
tec-reconocimiento-grados-titulos::article-8</x:v>
      </x:c>
      <x:c r="L31" s="12" t="str">
        <x:v>tec-reconocimiento-grados-titulos::article-6
tec-reconocimiento-grados-titulos::article-7</x:v>
      </x:c>
      <x:c r="M31" s="12" t="str">
        <x:v>Sí</x:v>
      </x:c>
      <x:c r="N31" s="12" t="str">
        <x:v>Sí</x:v>
      </x:c>
      <x:c r="O31" s="12" t="str">
        <x:v>Sí</x:v>
      </x:c>
      <x:c r="P31" s="12" t="str">
        <x:v>No</x:v>
      </x:c>
      <x:c r="Q31" s="12" t="str"/>
      <x:c r="R31" s="12" t="str"/>
      <x:c r="S31" s="13" t="n">
        <x:v>24.841899999955785</x:v>
      </x:c>
      <x:c r="T31" s="13" t="n">
        <x:v>7015.443799999957</x:v>
      </x:c>
      <x:c r="U31" s="13" t="n">
        <x:v>7040.625799999816</x:v>
      </x:c>
      <x:c r="V31" s="13" t="n">
        <x:v>50.47435623920267</x:v>
      </x:c>
      <x:c r="W31" s="11" t="str">
        <x:v>rag-eval-20260728T135240-817764</x:v>
      </x:c>
    </x:row>
    <x:row r="32" ht="96" customHeight="1">
      <x:c r="A32" s="11" t="n">
        <x:v>31</x:v>
      </x:c>
      <x:c r="B32" s="11" t="str">
        <x:v>q031</x:v>
      </x:c>
      <x:c r="C32" s="11" t="str">
        <x:v>multi_section</x:v>
      </x:c>
      <x:c r="D32" s="11" t="str">
        <x:v>derechos_y_convivencia</x:v>
      </x:c>
      <x:c r="E32" s="11" t="str">
        <x:v>Sí</x:v>
      </x:c>
      <x:c r="F32" s="12" t="str">
        <x:v>¿Qué debe contener una denuncia por hostigamiento sexual y qué plazo recibe la persona denunciada para responder después de su ampliación?</x:v>
      </x:c>
      <x:c r="G32" s="12" t="str">
        <x:v>La denuncia escrita ante la Fiscalía debe identificar a las partes, describir con precisión los hechos, lugares y fechas, señalar posibles testigos y pruebas, indicar un medio para notificaciones e incluir fecha y firmas. Tras la ampliación, la Comisión Investigadora da traslado dentro de dos días hábiles y concede a la persona denunciada ocho días hábiles para responder por escrito y ofrecer prueba de descargo.</x:v>
      </x:c>
      <x:c r="H32" s="12" t="str">
        <x:v>answered</x:v>
      </x:c>
      <x:c r="I32" s="12" t="str">
        <x:v>El contexto no especifica los elementos obligatorios que debe contener una denuncia por hostigamiento sexual, pero establece que tras recibir la denuncia, la Comisión Investigadora puede solicitar a la persona denunciante un plazo de tres días hábiles para ampliar o aclararla [F1][F3]. Una vez realizada dicha ampliación, se otorga a la persona denunciada un plazo de ocho días hábiles para referirse por escrito a los hechos imputados, ofrecer prueba de descargo y señalar medio de notificación [F2].</x:v>
      </x:c>
      <x:c r="J32" s="12" t="str">
        <x:v>F1, F2, F3</x:v>
      </x:c>
      <x:c r="K32" s="12" t="str">
        <x:v>tec-hostigamiento-sexual::article-29
tec-hostigamiento-sexual::article-30
tec-no-discriminacion::article-34</x:v>
      </x:c>
      <x:c r="L32" s="12" t="str">
        <x:v>tec-hostigamiento-sexual::article-27
tec-hostigamiento-sexual::article-30</x:v>
      </x:c>
      <x:c r="M32" s="12" t="str">
        <x:v>Sí</x:v>
      </x:c>
      <x:c r="N32" s="12" t="str">
        <x:v>Sí</x:v>
      </x:c>
      <x:c r="O32" s="12" t="str">
        <x:v>Sí</x:v>
      </x:c>
      <x:c r="P32" s="12" t="str">
        <x:v>No</x:v>
      </x:c>
      <x:c r="Q32" s="12" t="str"/>
      <x:c r="R32" s="12" t="str"/>
      <x:c r="S32" s="13" t="n">
        <x:v>24.8925999999301</x:v>
      </x:c>
      <x:c r="T32" s="13" t="n">
        <x:v>6364.0237999998135</x:v>
      </x:c>
      <x:c r="U32" s="13" t="n">
        <x:v>6389.245000000301</x:v>
      </x:c>
      <x:c r="V32" s="13" t="n">
        <x:v>50.08899022058167</x:v>
      </x:c>
      <x:c r="W32" s="11" t="str">
        <x:v>rag-eval-20260728T135240-817764</x:v>
      </x:c>
    </x:row>
    <x:row r="33" ht="96" customHeight="1">
      <x:c r="A33" s="11" t="n">
        <x:v>32</x:v>
      </x:c>
      <x:c r="B33" s="11" t="str">
        <x:v>q032</x:v>
      </x:c>
      <x:c r="C33" s="11" t="str">
        <x:v>multi_section</x:v>
      </x:c>
      <x:c r="D33" s="11" t="str">
        <x:v>derechos_y_convivencia</x:v>
      </x:c>
      <x:c r="E33" s="11" t="str">
        <x:v>Sí</x:v>
      </x:c>
      <x:c r="F33" s="12" t="str">
        <x:v>¿Dónde y cómo se presenta una denuncia por discriminación y qué medidas cautelares pueden solicitarse para proteger a la persona denunciante?</x:v>
      </x:c>
      <x:c r="G33" s="12" t="str">
        <x:v>La denuncia se presenta ante la Fiscalía contra la discriminación, presencialmente o con firma digital cuando corresponda, con la información y firmas requeridas. Pueden solicitarse medidas como prohibir acercamientos, perturbaciones o represalias; reubicar temporalmente un puesto o curso; separar temporalmente del cargo con goce salarial a una persona funcionaria denunciada; u otra medida necesaria de protección.</x:v>
      </x:c>
      <x:c r="H33" s="12" t="str">
        <x:v>error</x:v>
      </x:c>
      <x:c r="I33" s="12" t="str">
        <x:v>Las denuncias por discriminación deben presentarse en la Fiscalía contra la discriminación por orientación sexual, identidad y expresión de género [F2]. Pueden ser interponidas presencialmente o firmadas digitalmente si el caso lo amerita [F2], indicando datos completos del denunciante y denunciado, descripción de los hechos y pruebas [F2]. Las medidas cautelares buscan proteger provisionalmente al proceso y garantizar la integridad física, emocional y psicológica de la persona denunciante [F1]. Estas pueden incluir: abstención de perturbar o tomar represalias contra el denunciante; reubicación del puesto de trabajo o curso académico mientras dure la investigación; separación temporal con goce salarial para funcionarias (y traslado/suspensión similar); cambio de grupo u otras medidas para estudiantes; y cualquier otra necesaria [F1][F5].</x:v>
      </x:c>
      <x:c r="J33" s="12" t="str">
        <x:v>F2, F1</x:v>
      </x:c>
      <x:c r="K33" s="12" t="str">
        <x:v>tec-no-discriminacion::article-30
tec-no-discriminacion::article-33</x:v>
      </x:c>
      <x:c r="L33" s="12" t="str">
        <x:v>tec-no-discriminacion::article-30
tec-no-discriminacion::article-33</x:v>
      </x:c>
      <x:c r="M33" s="12" t="str">
        <x:v>Sí</x:v>
      </x:c>
      <x:c r="N33" s="12" t="str">
        <x:v>No</x:v>
      </x:c>
      <x:c r="O33" s="12" t="str">
        <x:v>No</x:v>
      </x:c>
      <x:c r="P33" s="12" t="str">
        <x:v>Sí</x:v>
      </x:c>
      <x:c r="Q33" s="12" t="str">
        <x:v>Las citas del texto y del campo citations no coinciden.</x:v>
      </x:c>
      <x:c r="R33" s="12" t="str">
        <x:v>{
  "status": "answered",
  "answer": "Las denuncias por discriminación deben presentarse en la Fiscalía contra la discriminación por orientación sexual, identidad y expresión de género [F2]. Pueden ser interponidas presencialmente o firmadas digitalmente si el caso lo amerita [F2], indicando datos completos del denunciante y denunciado, descripción de los hechos y pruebas [F2]. Las medidas cautelares buscan proteger provisionalmente al proceso y garantizar la integridad física, emocional y psicológica de la persona denunciante [F1]. Estas pueden incluir: abstención de perturbar o tomar represalias contra el denunciante; reubicación del puesto de trabajo o curso académico mientras dure la investigación; separación temporal con goce salarial para funcionarias (y traslado/suspensión similar); cambio de grupo u otras medidas para estudiantes; y cualquier otra necesaria [F1][F5].",
  "citations": ["F2", "F1"]
}</x:v>
      </x:c>
      <x:c r="S33" s="13" t="n">
        <x:v>29.01320000000851</x:v>
      </x:c>
      <x:c r="T33" s="13"/>
      <x:c r="U33" s="13" t="n">
        <x:v>7974.6101000000635</x:v>
      </x:c>
      <x:c r="V33" s="13"/>
      <x:c r="W33" s="11" t="str">
        <x:v>rag-eval-20260728T135240-817764</x:v>
      </x:c>
    </x:row>
    <x:row r="34" ht="96" customHeight="1">
      <x:c r="A34" s="11" t="n">
        <x:v>33</x:v>
      </x:c>
      <x:c r="B34" s="11" t="str">
        <x:v>q033</x:v>
      </x:c>
      <x:c r="C34" s="11" t="str">
        <x:v>multi_section</x:v>
      </x:c>
      <x:c r="D34" s="11" t="str">
        <x:v>gobierno_estudiantil</x:v>
      </x:c>
      <x:c r="E34" s="11" t="str">
        <x:v>Sí</x:v>
      </x:c>
      <x:c r="F34" s="12" t="str">
        <x:v>¿En qué momentos del año se realiza la declaratoria del proceso electoral de la FEITEC y se elige al tercer representante estudiantil ante el Consejo Institucional?</x:v>
      </x:c>
      <x:c r="G34" s="12" t="str">
        <x:v>La declaratoria oficial del proceso electoral de la FEITEC debe darse a más tardar en la última semana de abril. Para el tercer representante, el periodo de elección inicia en septiembre y la elección se realiza en un Plenario del Movimiento Estudiantil durante octubre.</x:v>
      </x:c>
      <x:c r="H34" s="12" t="str">
        <x:v>answered</x:v>
      </x:c>
      <x:c r="I34" s="12" t="str">
        <x:v>La declaratoria oficial del proceso electoral deberá darse a más tardar la última semana de abril [F2]. No hay información específica en el contexto sobre cuándo ocurre exactamente la elección del tercer representante estudiantil ante el Consejo Institucional, solo que es parte del mismo proceso electoral regulado por los documentos mencionados.</x:v>
      </x:c>
      <x:c r="J34" s="12" t="str">
        <x:v>F2</x:v>
      </x:c>
      <x:c r="K34" s="12" t="str">
        <x:v>tec-codigo-electoral-estudiantil::article-11</x:v>
      </x:c>
      <x:c r="L34" s="12" t="str">
        <x:v>tec-codigo-electoral-estudiantil::article-11
tec-tercer-representante-estudiantil::article-19</x:v>
      </x:c>
      <x:c r="M34" s="12" t="str">
        <x:v>Sí</x:v>
      </x:c>
      <x:c r="N34" s="12" t="str">
        <x:v>Sí</x:v>
      </x:c>
      <x:c r="O34" s="12" t="str">
        <x:v>Sí</x:v>
      </x:c>
      <x:c r="P34" s="12" t="str">
        <x:v>No</x:v>
      </x:c>
      <x:c r="Q34" s="12" t="str"/>
      <x:c r="R34" s="12" t="str"/>
      <x:c r="S34" s="13" t="n">
        <x:v>34.755000000131986</x:v>
      </x:c>
      <x:c r="T34" s="13" t="n">
        <x:v>5017.383599999903</x:v>
      </x:c>
      <x:c r="U34" s="13" t="n">
        <x:v>5052.387199999885</x:v>
      </x:c>
      <x:c r="V34" s="13" t="n">
        <x:v>49.754452562815</x:v>
      </x:c>
      <x:c r="W34" s="11" t="str">
        <x:v>rag-eval-20260728T135240-817764</x:v>
      </x:c>
    </x:row>
    <x:row r="35" ht="96" customHeight="1">
      <x:c r="A35" s="11" t="n">
        <x:v>34</x:v>
      </x:c>
      <x:c r="B35" s="11" t="str">
        <x:v>q034</x:v>
      </x:c>
      <x:c r="C35" s="11" t="str">
        <x:v>unanswerable</x:v>
      </x:c>
      <x:c r="D35" s="11" t="str">
        <x:v>fuera_del_corpus</x:v>
      </x:c>
      <x:c r="E35" s="11" t="str">
        <x:v>No</x:v>
      </x:c>
      <x:c r="F35" s="12" t="str">
        <x:v>¿Cuál es el precio actual del almuerzo en la soda del Campus Tecnológico Central?</x:v>
      </x:c>
      <x:c r="G35" s="12" t="str">
        <x:v>La información no se encuentra en el corpus.</x:v>
      </x:c>
      <x:c r="H35" s="12" t="str">
        <x:v>not_found</x:v>
      </x:c>
      <x:c r="I35" s="12" t="str">
        <x:v>No encontrado en el contexto.</x:v>
      </x:c>
      <x:c r="J35" s="12" t="str"/>
      <x:c r="K35" s="12" t="str"/>
      <x:c r="L35" s="12" t="str"/>
      <x:c r="M35" s="12" t="str">
        <x:v>No aplica</x:v>
      </x:c>
      <x:c r="N35" s="12" t="str">
        <x:v>No aplica</x:v>
      </x:c>
      <x:c r="O35" s="12" t="str">
        <x:v>Sí</x:v>
      </x:c>
      <x:c r="P35" s="12" t="str">
        <x:v>No</x:v>
      </x:c>
      <x:c r="Q35" s="12" t="str"/>
      <x:c r="R35" s="12" t="str"/>
      <x:c r="S35" s="13" t="n">
        <x:v>39.454599999771744</x:v>
      </x:c>
      <x:c r="T35" s="13" t="n">
        <x:v>4726.11470000038</x:v>
      </x:c>
      <x:c r="U35" s="13" t="n">
        <x:v>4766.341800000191</x:v>
      </x:c>
      <x:c r="V35" s="13" t="n">
        <x:v>44.76693215944489</x:v>
      </x:c>
      <x:c r="W35" s="11" t="str">
        <x:v>rag-eval-20260728T135240-817764</x:v>
      </x:c>
    </x:row>
    <x:row r="36" ht="96" customHeight="1">
      <x:c r="A36" s="11" t="n">
        <x:v>35</x:v>
      </x:c>
      <x:c r="B36" s="11" t="str">
        <x:v>q035</x:v>
      </x:c>
      <x:c r="C36" s="11" t="str">
        <x:v>unanswerable</x:v>
      </x:c>
      <x:c r="D36" s="11" t="str">
        <x:v>fuera_del_corpus</x:v>
      </x:c>
      <x:c r="E36" s="11" t="str">
        <x:v>No</x:v>
      </x:c>
      <x:c r="F36" s="12" t="str">
        <x:v>¿Cuál es el horario vigente del autobús entre San José y el Campus Tecnológico Central?</x:v>
      </x:c>
      <x:c r="G36" s="12" t="str">
        <x:v>La información no se encuentra en el corpus.</x:v>
      </x:c>
      <x:c r="H36" s="12" t="str">
        <x:v>not_found</x:v>
      </x:c>
      <x:c r="I36" s="12" t="str">
        <x:v>No encontrado en el contexto.</x:v>
      </x:c>
      <x:c r="J36" s="12" t="str"/>
      <x:c r="K36" s="12" t="str"/>
      <x:c r="L36" s="12" t="str"/>
      <x:c r="M36" s="12" t="str">
        <x:v>No aplica</x:v>
      </x:c>
      <x:c r="N36" s="12" t="str">
        <x:v>No aplica</x:v>
      </x:c>
      <x:c r="O36" s="12" t="str">
        <x:v>Sí</x:v>
      </x:c>
      <x:c r="P36" s="12" t="str">
        <x:v>No</x:v>
      </x:c>
      <x:c r="Q36" s="12" t="str"/>
      <x:c r="R36" s="12" t="str"/>
      <x:c r="S36" s="13" t="n">
        <x:v>32.44100000028993</x:v>
      </x:c>
      <x:c r="T36" s="13" t="n">
        <x:v>4491.074300000037</x:v>
      </x:c>
      <x:c r="U36" s="13" t="n">
        <x:v>4523.629899999833</x:v>
      </x:c>
      <x:c r="V36" s="13" t="n">
        <x:v>44.52995845725959</x:v>
      </x:c>
      <x:c r="W36" s="11" t="str">
        <x:v>rag-eval-20260728T135240-817764</x:v>
      </x:c>
    </x:row>
    <x:row r="37" ht="96" customHeight="1">
      <x:c r="A37" s="11" t="n">
        <x:v>36</x:v>
      </x:c>
      <x:c r="B37" s="11" t="str">
        <x:v>q036</x:v>
      </x:c>
      <x:c r="C37" s="11" t="str">
        <x:v>unanswerable</x:v>
      </x:c>
      <x:c r="D37" s="11" t="str">
        <x:v>fuera_del_corpus</x:v>
      </x:c>
      <x:c r="E37" s="11" t="str">
        <x:v>No</x:v>
      </x:c>
      <x:c r="F37" s="12" t="str">
        <x:v>¿Cuál es la contraseña actual de la red inalámbrica para estudiantes del TEC?</x:v>
      </x:c>
      <x:c r="G37" s="12" t="str">
        <x:v>La información no se encuentra en el corpus.</x:v>
      </x:c>
      <x:c r="H37" s="12" t="str">
        <x:v>not_found</x:v>
      </x:c>
      <x:c r="I37" s="12" t="str">
        <x:v>No encontrado en el contexto.</x:v>
      </x:c>
      <x:c r="J37" s="12" t="str"/>
      <x:c r="K37" s="12" t="str"/>
      <x:c r="L37" s="12" t="str"/>
      <x:c r="M37" s="12" t="str">
        <x:v>No aplica</x:v>
      </x:c>
      <x:c r="N37" s="12" t="str">
        <x:v>No aplica</x:v>
      </x:c>
      <x:c r="O37" s="12" t="str">
        <x:v>Sí</x:v>
      </x:c>
      <x:c r="P37" s="12" t="str">
        <x:v>No</x:v>
      </x:c>
      <x:c r="Q37" s="12" t="str"/>
      <x:c r="R37" s="12" t="str"/>
      <x:c r="S37" s="13" t="n">
        <x:v>53.56660000006741</x:v>
      </x:c>
      <x:c r="T37" s="13" t="n">
        <x:v>4267.730399999891</x:v>
      </x:c>
      <x:c r="U37" s="13" t="n">
        <x:v>4321.41589999992</x:v>
      </x:c>
      <x:c r="V37" s="13" t="n">
        <x:v>45.766590389016024</x:v>
      </x:c>
      <x:c r="W37" s="11" t="str">
        <x:v>rag-eval-20260728T135240-817764</x:v>
      </x:c>
    </x:row>
    <x:row r="38" ht="96" customHeight="1">
      <x:c r="A38" s="11" t="n">
        <x:v>37</x:v>
      </x:c>
      <x:c r="B38" s="11" t="str">
        <x:v>q037</x:v>
      </x:c>
      <x:c r="C38" s="11" t="str">
        <x:v>unanswerable</x:v>
      </x:c>
      <x:c r="D38" s="11" t="str">
        <x:v>fuera_del_corpus</x:v>
      </x:c>
      <x:c r="E38" s="11" t="str">
        <x:v>No</x:v>
      </x:c>
      <x:c r="F38" s="12" t="str">
        <x:v>¿Cuál es el horario de atención de la Biblioteca José Figueres Ferrer esta semana?</x:v>
      </x:c>
      <x:c r="G38" s="12" t="str">
        <x:v>La información no se encuentra en el corpus.</x:v>
      </x:c>
      <x:c r="H38" s="12" t="str">
        <x:v>not_found</x:v>
      </x:c>
      <x:c r="I38" s="12" t="str">
        <x:v>No encontrado en el contexto.</x:v>
      </x:c>
      <x:c r="J38" s="12" t="str"/>
      <x:c r="K38" s="12" t="str"/>
      <x:c r="L38" s="12" t="str"/>
      <x:c r="M38" s="12" t="str">
        <x:v>No aplica</x:v>
      </x:c>
      <x:c r="N38" s="12" t="str">
        <x:v>No aplica</x:v>
      </x:c>
      <x:c r="O38" s="12" t="str">
        <x:v>Sí</x:v>
      </x:c>
      <x:c r="P38" s="12" t="str">
        <x:v>No</x:v>
      </x:c>
      <x:c r="Q38" s="12" t="str"/>
      <x:c r="R38" s="12" t="str"/>
      <x:c r="S38" s="13" t="n">
        <x:v>28.613299999960873</x:v>
      </x:c>
      <x:c r="T38" s="13" t="n">
        <x:v>5185.968299999786</x:v>
      </x:c>
      <x:c r="U38" s="13" t="n">
        <x:v>5214.6999000001415</x:v>
      </x:c>
      <x:c r="V38" s="13" t="n">
        <x:v>48.81253343150076</x:v>
      </x:c>
      <x:c r="W38" s="11" t="str">
        <x:v>rag-eval-20260728T135240-817764</x:v>
      </x:c>
    </x:row>
    <x:row r="39" ht="96" customHeight="1">
      <x:c r="A39" s="11" t="n">
        <x:v>38</x:v>
      </x:c>
      <x:c r="B39" s="11" t="str">
        <x:v>q038</x:v>
      </x:c>
      <x:c r="C39" s="11" t="str">
        <x:v>unanswerable</x:v>
      </x:c>
      <x:c r="D39" s="11" t="str">
        <x:v>fuera_del_corpus</x:v>
      </x:c>
      <x:c r="E39" s="11" t="str">
        <x:v>No</x:v>
      </x:c>
      <x:c r="F39" s="12" t="str">
        <x:v>¿Cuál es el monto exacto que cuesta matricular un crédito de grado este semestre?</x:v>
      </x:c>
      <x:c r="G39" s="12" t="str">
        <x:v>La información no se encuentra en el corpus.</x:v>
      </x:c>
      <x:c r="H39" s="12" t="str">
        <x:v>not_found</x:v>
      </x:c>
      <x:c r="I39" s="12" t="str">
        <x:v>No encontrado en el contexto.</x:v>
      </x:c>
      <x:c r="J39" s="12" t="str"/>
      <x:c r="K39" s="12" t="str"/>
      <x:c r="L39" s="12" t="str"/>
      <x:c r="M39" s="12" t="str">
        <x:v>No aplica</x:v>
      </x:c>
      <x:c r="N39" s="12" t="str">
        <x:v>No aplica</x:v>
      </x:c>
      <x:c r="O39" s="12" t="str">
        <x:v>Sí</x:v>
      </x:c>
      <x:c r="P39" s="12" t="str">
        <x:v>No</x:v>
      </x:c>
      <x:c r="Q39" s="12" t="str"/>
      <x:c r="R39" s="12" t="str"/>
      <x:c r="S39" s="13" t="n">
        <x:v>34.75760000037553</x:v>
      </x:c>
      <x:c r="T39" s="13" t="n">
        <x:v>4395.550700000058</x:v>
      </x:c>
      <x:c r="U39" s="13" t="n">
        <x:v>4430.414699999801</x:v>
      </x:c>
      <x:c r="V39" s="13" t="n">
        <x:v>48.243533356383026</x:v>
      </x:c>
      <x:c r="W39" s="11" t="str">
        <x:v>rag-eval-20260728T135240-817764</x:v>
      </x:c>
    </x:row>
    <x:row r="40" ht="96" customHeight="1">
      <x:c r="A40" s="11" t="n">
        <x:v>39</x:v>
      </x:c>
      <x:c r="B40" s="11" t="str">
        <x:v>q039</x:v>
      </x:c>
      <x:c r="C40" s="11" t="str">
        <x:v>unanswerable</x:v>
      </x:c>
      <x:c r="D40" s="11" t="str">
        <x:v>fuera_del_corpus</x:v>
      </x:c>
      <x:c r="E40" s="11" t="str">
        <x:v>No</x:v>
      </x:c>
      <x:c r="F40" s="12" t="str">
        <x:v>¿Qué grupos y horarios tienen cupo disponible hoy para el curso de Cálculo Diferencial e Integral?</x:v>
      </x:c>
      <x:c r="G40" s="12" t="str">
        <x:v>La información no se encuentra en el corpus.</x:v>
      </x:c>
      <x:c r="H40" s="12" t="str">
        <x:v>not_found</x:v>
      </x:c>
      <x:c r="I40" s="12" t="str">
        <x:v>No encontrado en el contexto.</x:v>
      </x:c>
      <x:c r="J40" s="12" t="str"/>
      <x:c r="K40" s="12" t="str"/>
      <x:c r="L40" s="12" t="str"/>
      <x:c r="M40" s="12" t="str">
        <x:v>No aplica</x:v>
      </x:c>
      <x:c r="N40" s="12" t="str">
        <x:v>No aplica</x:v>
      </x:c>
      <x:c r="O40" s="12" t="str">
        <x:v>Sí</x:v>
      </x:c>
      <x:c r="P40" s="12" t="str">
        <x:v>No</x:v>
      </x:c>
      <x:c r="Q40" s="12" t="str"/>
      <x:c r="R40" s="12" t="str"/>
      <x:c r="S40" s="13" t="n">
        <x:v>37.896899999850575</x:v>
      </x:c>
      <x:c r="T40" s="13" t="n">
        <x:v>4649.64719999989</x:v>
      </x:c>
      <x:c r="U40" s="13" t="n">
        <x:v>4687.652699999944</x:v>
      </x:c>
      <x:c r="V40" s="13" t="n">
        <x:v>45.29036787101303</x:v>
      </x:c>
      <x:c r="W40" s="11" t="str">
        <x:v>rag-eval-20260728T135240-817764</x:v>
      </x:c>
    </x:row>
    <x:row r="41" ht="96" customHeight="1">
      <x:c r="A41" s="11" t="n">
        <x:v>40</x:v>
      </x:c>
      <x:c r="B41" s="11" t="str">
        <x:v>q040</x:v>
      </x:c>
      <x:c r="C41" s="11" t="str">
        <x:v>unanswerable</x:v>
      </x:c>
      <x:c r="D41" s="11" t="str">
        <x:v>fuera_del_corpus</x:v>
      </x:c>
      <x:c r="E41" s="11" t="str">
        <x:v>No</x:v>
      </x:c>
      <x:c r="F41" s="12" t="str">
        <x:v>¿Cuál es el número de oficina y el horario de consulta del profesor que imparte Programación Orientada a Objetos este semestre?</x:v>
      </x:c>
      <x:c r="G41" s="12" t="str">
        <x:v>La información no se encuentra en el corpus.</x:v>
      </x:c>
      <x:c r="H41" s="12" t="str">
        <x:v>not_found</x:v>
      </x:c>
      <x:c r="I41" s="12" t="str">
        <x:v>No encontrado en el contexto.</x:v>
      </x:c>
      <x:c r="J41" s="12" t="str"/>
      <x:c r="K41" s="12" t="str"/>
      <x:c r="L41" s="12" t="str"/>
      <x:c r="M41" s="12" t="str">
        <x:v>No aplica</x:v>
      </x:c>
      <x:c r="N41" s="12" t="str">
        <x:v>No aplica</x:v>
      </x:c>
      <x:c r="O41" s="12" t="str">
        <x:v>Sí</x:v>
      </x:c>
      <x:c r="P41" s="12" t="str">
        <x:v>No</x:v>
      </x:c>
      <x:c r="Q41" s="12" t="str"/>
      <x:c r="R41" s="12" t="str"/>
      <x:c r="S41" s="13" t="n">
        <x:v>32.61470000006739</x:v>
      </x:c>
      <x:c r="T41" s="13" t="n">
        <x:v>4301.770200000192</x:v>
      </x:c>
      <x:c r="U41" s="13" t="n">
        <x:v>4334.491999999955</x:v>
      </x:c>
      <x:c r="V41" s="13" t="n">
        <x:v>46.66337430636839</x:v>
      </x:c>
      <x:c r="W41" s="11" t="str">
        <x:v>rag-eval-20260728T135240-817764</x:v>
      </x:c>
    </x:row>
  </x:sheetData>
  <x:pageMargins left="0.7" right="0.7" top="0.75" bottom="0.75" header="0.3" footer="0.3"/>
  <x:tableParts count="1">
    <x:tablePart xmlns:r="http://schemas.openxmlformats.org/officeDocument/2006/relationships" r:id="R298fff6e14044fd0"/>
  </x:tableParts>
</x:worksheet>
</file>

<file path=xl/worksheets/sheet5.xml><?xml version="1.0" encoding="utf-8"?>
<x:worksheet xmlns:x="http://schemas.openxmlformats.org/spreadsheetml/2006/main">
  <x:sheetViews>
    <x:sheetView showGridLines="0" workbookViewId="0"/>
  </x:sheetViews>
  <x:sheetFormatPr defaultRowHeight="15"/>
  <x:cols>
    <x:col min="1" max="1" width="13" hidden="0" customWidth="1"/>
    <x:col min="2" max="2" width="16" hidden="0" customWidth="1"/>
    <x:col min="3" max="3" width="11" hidden="0" customWidth="1"/>
    <x:col min="4" max="4" width="9" hidden="0" customWidth="1"/>
    <x:col min="5" max="5" width="11" hidden="0" customWidth="1"/>
    <x:col min="6" max="6" width="38" hidden="0" customWidth="1"/>
    <x:col min="7" max="7" width="15" hidden="0" customWidth="1"/>
    <x:col min="8" max="8" width="17" hidden="0" customWidth="1"/>
    <x:col min="9" max="9" width="48" hidden="0" customWidth="1"/>
    <x:col min="10" max="10" width="48" hidden="0" customWidth="1"/>
    <x:col min="11" max="11" width="76" hidden="0" customWidth="1"/>
    <x:col min="12" max="12" width="42" hidden="0" customWidth="1"/>
    <x:col min="13" max="13" width="30" hidden="0" customWidth="1"/>
  </x:cols>
  <x:sheetData>
    <x:row r="1">
      <x:c r="A1" s="6" t="str">
        <x:v>Question ID</x:v>
      </x:c>
      <x:c r="B1" s="6" t="str">
        <x:v>Tipo</x:v>
      </x:c>
      <x:c r="C1" s="6" t="str">
        <x:v>Source ID</x:v>
      </x:c>
      <x:c r="D1" s="6" t="str">
        <x:v>Rank</x:v>
      </x:c>
      <x:c r="E1" s="6" t="str">
        <x:v>Score</x:v>
      </x:c>
      <x:c r="F1" s="6" t="str">
        <x:v>Record ID</x:v>
      </x:c>
      <x:c r="G1" s="6" t="str">
        <x:v>Esperada gold</x:v>
      </x:c>
      <x:c r="H1" s="6" t="str">
        <x:v>Citada por modelo</x:v>
      </x:c>
      <x:c r="I1" s="6" t="str">
        <x:v>Etiqueta de cita</x:v>
      </x:c>
      <x:c r="J1" s="6" t="str">
        <x:v>URL oficial</x:v>
      </x:c>
      <x:c r="K1" s="6" t="str">
        <x:v>Texto del fragmento</x:v>
      </x:c>
      <x:c r="L1" s="6" t="str">
        <x:v>Chunk ID</x:v>
      </x:c>
      <x:c r="M1" s="6" t="str">
        <x:v>Document ID</x:v>
      </x:c>
    </x:row>
    <x:row r="2" ht="92" customHeight="1">
      <x:c r="A2" s="11" t="str">
        <x:v>q001</x:v>
      </x:c>
      <x:c r="B2" s="11" t="str">
        <x:v>direct</x:v>
      </x:c>
      <x:c r="C2" s="11" t="str">
        <x:v>F1</x:v>
      </x:c>
      <x:c r="D2" s="11" t="n">
        <x:v>1</x:v>
      </x:c>
      <x:c r="E2" s="14" t="n">
        <x:v>0.8888481855392456</x:v>
      </x:c>
      <x:c r="F2" s="11" t="str">
        <x:v>tec-rrea-2025::article-66</x:v>
      </x:c>
      <x:c r="G2" s="11" t="str">
        <x:v>Sí</x:v>
      </x:c>
      <x:c r="H2" s="11" t="str">
        <x:v>No</x:v>
      </x:c>
      <x:c r="I2" s="12" t="str">
        <x:v>Reglamento del Régimen Enseñanza-Aprendizaje del Instituto Tecnológico de Costa Rica, Artículo 66. De las ausencias justificadas a actividades de evaluación</x:v>
      </x:c>
      <x:c r="J2" s="12" t="str">
        <x:v>https://www.tec.ac.cr/reglamento-regimen-ensenanza-aprendizaje-instituto-tecnologico-costa-rica</x:v>
      </x:c>
      <x:c r="K2" s="12" t="str">
        <x:v>no se consideran suficiente motivo para justificar la ausencia, la persona docente asignará a la persona estudiante la nota mínima de la escala (cero). En caso de que la persona docente no acepte la justificación presentada, la persona estudiante tiene la opción de presentar un recurso de revocatoria ante la persona docente dentro de los cinco días hábiles posteriores al rechazo. La persona docente tendrá cinco días hábiles para resolver. También la persona estudiante podrá interponer ante la Dirección o Coordinación de la dependencia o subdependencia que imparte la asignatura un recurso de apelación, dentro de los cinco días hábiles posteriores a la entrega de la resolución de la revocatoria por parte de la persona docente. La dirección o coordinación cuenta con diez días hábiles para resolver, dando por agotada la vía administrativa. De ser necesario, la Dirección o Coordinación de la dependencia o subdependencia podrá solicitar apoyo a otras instancias institucionales quienes tendrán 5 días hábiles para emitir su criterio, una vez enviada copia del expediente completo.</x:v>
      </x:c>
      <x:c r="L2" s="12" t="str">
        <x:v>tec-rrea-2025::article-66::chunk-002</x:v>
      </x:c>
      <x:c r="M2" s="12" t="str">
        <x:v>tec-rrea-2025</x:v>
      </x:c>
    </x:row>
    <x:row r="3" ht="92" customHeight="1">
      <x:c r="A3" s="11" t="str">
        <x:v>q001</x:v>
      </x:c>
      <x:c r="B3" s="11" t="str">
        <x:v>direct</x:v>
      </x:c>
      <x:c r="C3" s="11" t="str">
        <x:v>F2</x:v>
      </x:c>
      <x:c r="D3" s="11" t="n">
        <x:v>2</x:v>
      </x:c>
      <x:c r="E3" s="14" t="n">
        <x:v>0.8778630495071411</x:v>
      </x:c>
      <x:c r="F3" s="11" t="str">
        <x:v>tec-rrea-2025::article-66</x:v>
      </x:c>
      <x:c r="G3" s="11" t="str">
        <x:v>Sí</x:v>
      </x:c>
      <x:c r="H3" s="11" t="str">
        <x:v>Sí</x:v>
      </x:c>
      <x:c r="I3" s="12" t="str">
        <x:v>Reglamento del Régimen Enseñanza-Aprendizaje del Instituto Tecnológico de Costa Rica, Artículo 66. De las ausencias justificadas a actividades de evaluación</x:v>
      </x:c>
      <x:c r="J3" s="12" t="str">
        <x:v>https://www.tec.ac.cr/reglamento-regimen-ensenanza-aprendizaje-instituto-tecnologico-costa-rica</x:v>
      </x:c>
      <x:c r="K3" s="12" t="str">
        <x:v>La persona estudiante podrá solicitar a la persona docente que se le efectúen las evaluaciones que no tuvo oportunidad de realizar siempre que cumpla con alguna de las siguientes condiciones: a. Enfermedad comprobada de la persona estudiante por profesional competente. b. Imposibilidad de asistir demostrada mediante constancia emitida por autoridad competente. c. Fallecimiento constatado de pareja o parientes hasta segundo grado de consanguinidad o de una persona con la que haya tenido una relación parental análoga o una relación afectiva. d. Condición de maternidad o paternidad de la persona estudiante, sea por embarazo, nacimiento o adopción, cuido, enfermedad u otra situación constatada. e. Participación de la persona estudiante en actividades avaladas por la Vicerrectoría de Docencia, la Vicerrectoría de Vida Estudiantil y Servicios Académicos o la Dirección de Posgrado. f. Cualquier otra causa que a criterio de la persona docente sea justificante. Esta solicitud se debe presentar en el plazo de tres días hábiles siguientes a la aplicación de la evaluación, personalmente, mediante correo electrónico remitido a la cuenta oficial de la Institución o por medio de una persona autorizada. En casos en los que la persona estudiante se encuentre imposibilitada por causas de salud para realizar el trámite en el plazo establecido, demostrado mediante constancia emitida por autoridad competente, podrá realizar el trámite de forma extemporánea ante la persona docente o la dirección o coordinación de la instancia respectiva en los primeros tres días hábiles posteriores a su recuperación. La persona docente deberá resolver la solicitud en un plazo no mayor a tres días hábiles, posteriores a la presentación de ésta. Si no se presenta la solicitud en el período establecido o si las causas expuestas no se consideran suficiente motivo para justificar la ausencia, la persona docente asignará a la persona estudiante la nota mínima de la escala (cero). En caso de que la persona docente no acepte la justificación presentada, la persona</x:v>
      </x:c>
      <x:c r="L3" s="12" t="str">
        <x:v>tec-rrea-2025::article-66::chunk-001</x:v>
      </x:c>
      <x:c r="M3" s="12" t="str">
        <x:v>tec-rrea-2025</x:v>
      </x:c>
    </x:row>
    <x:row r="4" ht="92" customHeight="1">
      <x:c r="A4" s="11" t="str">
        <x:v>q001</x:v>
      </x:c>
      <x:c r="B4" s="11" t="str">
        <x:v>direct</x:v>
      </x:c>
      <x:c r="C4" s="11" t="str">
        <x:v>F3</x:v>
      </x:c>
      <x:c r="D4" s="11" t="n">
        <x:v>3</x:v>
      </x:c>
      <x:c r="E4" s="14" t="n">
        <x:v>0.8760116100311279</x:v>
      </x:c>
      <x:c r="F4" s="11" t="str">
        <x:v>tec-rrea-2025::article-83</x:v>
      </x:c>
      <x:c r="G4" s="11" t="str">
        <x:v>No</x:v>
      </x:c>
      <x:c r="H4" s="11" t="str">
        <x:v>No</x:v>
      </x:c>
      <x:c r="I4" s="12" t="str">
        <x:v>Reglamento del Régimen Enseñanza-Aprendizaje del Instituto Tecnológico de Costa Rica, Artículo 83. De la reprobación por ausencias</x:v>
      </x:c>
      <x:c r="J4" s="12" t="str">
        <x:v>https://www.tec.ac.cr/reglamento-regimen-ensenanza-aprendizaje-instituto-tecnologico-costa-rica</x:v>
      </x:c>
      <x:c r="K4" s="12" t="str">
        <x:v>La persona estudiante que acumule hasta un 15% de ausencias en un curso de asistencia obligatoria se considerará reprobada y, para los efectos de actas de calificaciones, la asignatura aparecerá con las siglas RPA (Reprobado por ausencias) y con la nota que le corresponda de acuerdo con los criterios de evaluación establecidos para dicho curso. Se exceptuarán aquellos casos de personas estudiantes próximas a graduarse que trabajan y con quienes la persona docente haya acordado ajustes operativos (metodológicos y evaluativos) debido a su condición de haber reprobado dos o más veces la asignatura, o según lo indicado en este reglamento sobre las actividades prácticas. Estos ajustes acordados deberán constar por escrito.</x:v>
      </x:c>
      <x:c r="L4" s="12" t="str">
        <x:v>tec-rrea-2025::article-83::chunk-001</x:v>
      </x:c>
      <x:c r="M4" s="12" t="str">
        <x:v>tec-rrea-2025</x:v>
      </x:c>
    </x:row>
    <x:row r="5" ht="92" customHeight="1">
      <x:c r="A5" s="11" t="str">
        <x:v>q001</x:v>
      </x:c>
      <x:c r="B5" s="11" t="str">
        <x:v>direct</x:v>
      </x:c>
      <x:c r="C5" s="11" t="str">
        <x:v>F4</x:v>
      </x:c>
      <x:c r="D5" s="11" t="n">
        <x:v>4</x:v>
      </x:c>
      <x:c r="E5" s="14" t="n">
        <x:v>0.8723930716514587</x:v>
      </x:c>
      <x:c r="F5" s="11" t="str">
        <x:v>tec-rrea-2025::article-70</x:v>
      </x:c>
      <x:c r="G5" s="11" t="str">
        <x:v>No</x:v>
      </x:c>
      <x:c r="H5" s="11" t="str">
        <x:v>No</x:v>
      </x:c>
      <x:c r="I5" s="12" t="str">
        <x:v>Reglamento del Régimen Enseñanza-Aprendizaje del Instituto Tecnológico de Costa Rica, Artículo 70. De la solicitud de revisión de resultados de las evaluaciones</x:v>
      </x:c>
      <x:c r="J5" s="12" t="str">
        <x:v>https://www.tec.ac.cr/reglamento-regimen-ensenanza-aprendizaje-instituto-tecnologico-costa-rica</x:v>
      </x:c>
      <x:c r="K5" s="12" t="str">
        <x:v>La persona estudiante podrá presentar un recurso de revocatoria a su docente por escrito, por medios físicos o digitales, para solicitar la revisión de la calificación de los instrumentos aplicados en actividades de evaluación, dentro de los tres días hábiles posteriores a la notificación de los resultados obtenidos. La persona docente deberá dar su respuesta durante los tres días hábiles siguientes. En caso de respuesta negativa, la persona estudiante podrá apelar la decisión ante la coordinación de la subdependencia o en su defecto ante la Dirección de la dependencia que imparte la asignatura, en un plazo no mayor a tres días hábiles a partir de la fecha en que vence el período de respuesta de su docente. La Dirección o la Coordinación respectiva deberá resolver la apelación dentro de los cinco días hábiles siguientes. El Consejo de la dependencia o subdependencia respectiva actuará como órgano en alzada, la cual resolverá dentro de los diez días hábiles siguientes y agotará la vía administrativa.</x:v>
      </x:c>
      <x:c r="L5" s="12" t="str">
        <x:v>tec-rrea-2025::article-70::chunk-001</x:v>
      </x:c>
      <x:c r="M5" s="12" t="str">
        <x:v>tec-rrea-2025</x:v>
      </x:c>
    </x:row>
    <x:row r="6" ht="92" customHeight="1">
      <x:c r="A6" s="11" t="str">
        <x:v>q001</x:v>
      </x:c>
      <x:c r="B6" s="11" t="str">
        <x:v>direct</x:v>
      </x:c>
      <x:c r="C6" s="11" t="str">
        <x:v>F5</x:v>
      </x:c>
      <x:c r="D6" s="11" t="n">
        <x:v>5</x:v>
      </x:c>
      <x:c r="E6" s="14" t="n">
        <x:v>0.8707860708236694</x:v>
      </x:c>
      <x:c r="F6" s="11" t="str">
        <x:v>tec-rrea-2025::article-67</x:v>
      </x:c>
      <x:c r="G6" s="11" t="str">
        <x:v>No</x:v>
      </x:c>
      <x:c r="H6" s="11" t="str">
        <x:v>No</x:v>
      </x:c>
      <x:c r="I6" s="12" t="str">
        <x:v>Reglamento del Régimen Enseñanza-Aprendizaje del Instituto Tecnológico de Costa Rica, Artículo 67. De la autorización de ausencias en casos extraordinarios</x:v>
      </x:c>
      <x:c r="J6" s="12" t="str">
        <x:v>https://www.tec.ac.cr/reglamento-regimen-ensenanza-aprendizaje-instituto-tecnologico-costa-rica</x:v>
      </x:c>
      <x:c r="K6" s="12" t="str">
        <x:v>El Instituto otorgará a la persona estudiante permiso para ausentarse de las responsabilidades académicas por el lapso de cinco días hábiles, ampliable según análisis y recomendación de la persona que ejerza la Vicerrectoría de Vida Estudiantil y Servicios Académicos, en los días subsiguientes inmediatos al evento constatado, por el fallecimiento de parientes hasta segundo grado de consanguinidad o de una persona con la que haya tenido una relación parental análoga o una relación afectiva, cónyuge, conviviente de hecho, novio o novia. La persona estudiante tendrá derecho a que se le repongan las actividades de evaluación realizadas durante ese periodo, para lo cual deberá plantear la solicitud a su docente según lo establecido en este reglamento para la justificación de ausencias a actividades de evaluación y adjuntar la documentación correspondiente.</x:v>
      </x:c>
      <x:c r="L6" s="12" t="str">
        <x:v>tec-rrea-2025::article-67::chunk-001</x:v>
      </x:c>
      <x:c r="M6" s="12" t="str">
        <x:v>tec-rrea-2025</x:v>
      </x:c>
    </x:row>
    <x:row r="7" ht="92" customHeight="1">
      <x:c r="A7" s="11" t="str">
        <x:v>q002</x:v>
      </x:c>
      <x:c r="B7" s="11" t="str">
        <x:v>direct</x:v>
      </x:c>
      <x:c r="C7" s="11" t="str">
        <x:v>F1</x:v>
      </x:c>
      <x:c r="D7" s="11" t="n">
        <x:v>1</x:v>
      </x:c>
      <x:c r="E7" s="14" t="n">
        <x:v>0.8717227578163147</x:v>
      </x:c>
      <x:c r="F7" s="11" t="str">
        <x:v>tec-becas-prestamos::article-35</x:v>
      </x:c>
      <x:c r="G7" s="11" t="str">
        <x:v>Sí</x:v>
      </x:c>
      <x:c r="H7" s="11" t="str">
        <x:v>Sí</x:v>
      </x:c>
      <x:c r="I7" s="12" t="str">
        <x:v>Reglamento de Becas y Préstamos Estudiantiles del Instituto Tecnológico de Costa Rica y sus Reformas, Artículo 35 Beca de excelencia académica</x:v>
      </x:c>
      <x:c r="J7" s="12" t="str">
        <x:v>https://www.tec.ac.cr/reglamento-becas-prestamos-estudiantiles-instituto-tecnologico-costa-rica-sus-reformas</x:v>
      </x:c>
      <x:c r="K7" s="12" t="str">
        <x:v>5 puntos Colegio de procedencia: Por el tipo de colegio del cual se procede, de acuerdo con el criterio técnico que en esta materia prevalezca. En ausencia de la política correspondiente se aplicará lo siguiente: De acuerdo con el colegio de procedencia, sea este público (técnico o académico), oficial, privado u otro, se otorga el siguiente puntaje: Para mantener la beca de excelencia académica el o la estudiante deberá aprobar como mínimo 12 créditos durante el primer año lectivo. Para los años subsiguientes deberá aprobarse un mínimo de 15 créditos al semestre o la totalidad del número de créditos que establezca el plan de estudios en que se encuentra matriculado. Se considera excepción a lo anterior, cuando un estudiante adelante cursos no habiendo reprobado ningún de ellos o cuando la práctica valga 10 créditos se le puede conservar la beca para el siguiente curso lectivo.</x:v>
      </x:c>
      <x:c r="L7" s="12" t="str">
        <x:v>tec-becas-prestamos::article-35::chunk-002</x:v>
      </x:c>
      <x:c r="M7" s="12" t="str">
        <x:v>tec-becas-prestamos</x:v>
      </x:c>
    </x:row>
    <x:row r="8" ht="92" customHeight="1">
      <x:c r="A8" s="11" t="str">
        <x:v>q002</x:v>
      </x:c>
      <x:c r="B8" s="11" t="str">
        <x:v>direct</x:v>
      </x:c>
      <x:c r="C8" s="11" t="str">
        <x:v>F2</x:v>
      </x:c>
      <x:c r="D8" s="11" t="n">
        <x:v>2</x:v>
      </x:c>
      <x:c r="E8" s="14" t="n">
        <x:v>0.862224280834198</x:v>
      </x:c>
      <x:c r="F8" s="11" t="str">
        <x:v>tec-becas-prestamos::article-35</x:v>
      </x:c>
      <x:c r="G8" s="11" t="str">
        <x:v>Sí</x:v>
      </x:c>
      <x:c r="H8" s="11" t="str">
        <x:v>Sí</x:v>
      </x:c>
      <x:c r="I8" s="12" t="str">
        <x:v>Reglamento de Becas y Préstamos Estudiantiles del Instituto Tecnológico de Costa Rica y sus Reformas, Artículo 35 Beca de excelencia académica</x:v>
      </x:c>
      <x:c r="J8" s="12" t="str">
        <x:v>https://www.tec.ac.cr/reglamento-becas-prestamos-estudiantiles-instituto-tecnologico-costa-rica-sus-reformas</x:v>
      </x:c>
      <x:c r="K8" s="12" t="str">
        <x:v>Consiste en la exoneración del pago de los derechos de estudio durante toda la carrera y se ofrece a los(as) estudiantes de primer ingreso que se matriculen en el primer período lectivo de cada año. Esta beca se otorga a los(as) cien estudiantes de mayor puntaje como resultado de la suma de los puntos que se obtengan según los siguientes criterios: Primeros Promedios de Colegio: Por la excelencia académica demostrada durante la educación secundaria, evidenciada en el promedio de presentación de IV Ciclo, el cual deberá ser igual o superior a 90. Por este concepto se otorgará puntaje según la siguiente tabla: Primeros Puntajes de Admisión: Por el puntaje obtenido en el examen de admisión, se otorgará puntaje según la siguiente tabla: Ganadores(as) de Concursos y Certámenes: Por obtener el primer lugar en concursos y certámenes a nivel nacional, en forma individual o grupal, en los campos científico y tecnológico, cuya participación se realice a partir del noveno año de la Educación General Básica. Los eventos señalados deberán estar auspiciados por organismos competentes a nivel nacional, según el campo de que se trate, y haberse realizado en un plazo máximo de cinco años antes de la fecha de ingreso al Instituto Tecnológico de Costa Rica. En el caso del certamen Olimpiada Costarricense de Matemática, Física y Química, se considerarán los(as) doce semifinalistas a nivel nacional. Por esta condición se otorga 5 puntos. Egresado(a) de Colegio Científico: Por tratarse de estudiantes graduados(as) de los Colegios Científicos del país que hayan aprobado el cuarto ciclo de la educación diversificada, con un promedio igual o superior a 90. Por esta condición se otorga 5 puntos Colegio de procedencia: Por el tipo de colegio del cual se procede, de acuerdo con el criterio técnico que en esta materia prevalezca. En ausencia de la política correspondiente se aplicará lo siguiente: De acuerdo con el colegio de</x:v>
      </x:c>
      <x:c r="L8" s="12" t="str">
        <x:v>tec-becas-prestamos::article-35::chunk-001</x:v>
      </x:c>
      <x:c r="M8" s="12" t="str">
        <x:v>tec-becas-prestamos</x:v>
      </x:c>
    </x:row>
    <x:row r="9" ht="92" customHeight="1">
      <x:c r="A9" s="11" t="str">
        <x:v>q002</x:v>
      </x:c>
      <x:c r="B9" s="11" t="str">
        <x:v>direct</x:v>
      </x:c>
      <x:c r="C9" s="11" t="str">
        <x:v>F3</x:v>
      </x:c>
      <x:c r="D9" s="11" t="n">
        <x:v>3</x:v>
      </x:c>
      <x:c r="E9" s="14" t="n">
        <x:v>0.8572450876235962</x:v>
      </x:c>
      <x:c r="F9" s="11" t="str">
        <x:v>tec-becas-prestamos::article-37</x:v>
      </x:c>
      <x:c r="G9" s="11" t="str">
        <x:v>No</x:v>
      </x:c>
      <x:c r="H9" s="11" t="str">
        <x:v>No</x:v>
      </x:c>
      <x:c r="I9" s="12" t="str">
        <x:v>Reglamento de Becas y Préstamos Estudiantiles del Instituto Tecnológico de Costa Rica y sus Reformas, Artículo 37</x:v>
      </x:c>
      <x:c r="J9" s="12" t="str">
        <x:v>https://www.tec.ac.cr/reglamento-becas-prestamos-estudiantiles-instituto-tecnologico-costa-rica-sus-reformas</x:v>
      </x:c>
      <x:c r="K9" s="12" t="str">
        <x:v>Las becas por participación especial en el área cultural o deportiva podrán ser otorgadas a estudiantes de primer ingreso, que certifiquen que en el año inmediato anterior a su matrícula en la institución, ganaron algún premio o galardón en una competencia nacional o internacional, de carácter deportivo, cultural o artístico, reconocida por la Comisión de Becas de Cultura y Deporte. El beneficio consistirá en la exoneración total del pago de matrícula y será válido para el primer año lectivo.</x:v>
      </x:c>
      <x:c r="L9" s="12" t="str">
        <x:v>tec-becas-prestamos::article-37::chunk-001</x:v>
      </x:c>
      <x:c r="M9" s="12" t="str">
        <x:v>tec-becas-prestamos</x:v>
      </x:c>
    </x:row>
    <x:row r="10" ht="92" customHeight="1">
      <x:c r="A10" s="11" t="str">
        <x:v>q002</x:v>
      </x:c>
      <x:c r="B10" s="11" t="str">
        <x:v>direct</x:v>
      </x:c>
      <x:c r="C10" s="11" t="str">
        <x:v>F4</x:v>
      </x:c>
      <x:c r="D10" s="11" t="n">
        <x:v>4</x:v>
      </x:c>
      <x:c r="E10" s="14" t="n">
        <x:v>0.8571466207504272</x:v>
      </x:c>
      <x:c r="F10" s="11" t="str">
        <x:v>tec-becas-prestamos::article-21</x:v>
      </x:c>
      <x:c r="G10" s="11" t="str">
        <x:v>No</x:v>
      </x:c>
      <x:c r="H10" s="11" t="str">
        <x:v>No</x:v>
      </x:c>
      <x:c r="I10" s="12" t="str">
        <x:v>Reglamento de Becas y Préstamos Estudiantiles del Instituto Tecnológico de Costa Rica y sus Reformas, Artículo 21 Beca Total</x:v>
      </x:c>
      <x:c r="J10" s="12" t="str">
        <x:v>https://www.tec.ac.cr/reglamento-becas-prestamos-estudiantiles-instituto-tecnologico-costa-rica-sus-reformas</x:v>
      </x:c>
      <x:c r="K10" s="12" t="str">
        <x:v>Se llama beca total al beneficio que otorga el Instituto Tecnológico de Costa Rica a las y los estudiantes, equivalente a la exoneración de los derechos de estudio que debe cubrir el/la estudiante; en algunos casos este porcentaje de exoneración se encuentra combinado con un monto mensual que el ITCR otorga al o la estudiante para contribuir a cubrir otros gastos de estudio para la continuación en la obtención de un grado académico. El otorgamiento de este tipo de beca atenderá las necesidades económicas que demuestre el interesado así como el mérito académico.</x:v>
      </x:c>
      <x:c r="L10" s="12" t="str">
        <x:v>tec-becas-prestamos::article-21::chunk-001</x:v>
      </x:c>
      <x:c r="M10" s="12" t="str">
        <x:v>tec-becas-prestamos</x:v>
      </x:c>
    </x:row>
    <x:row r="11" ht="92" customHeight="1">
      <x:c r="A11" s="11" t="str">
        <x:v>q002</x:v>
      </x:c>
      <x:c r="B11" s="11" t="str">
        <x:v>direct</x:v>
      </x:c>
      <x:c r="C11" s="11" t="str">
        <x:v>F5</x:v>
      </x:c>
      <x:c r="D11" s="11" t="n">
        <x:v>5</x:v>
      </x:c>
      <x:c r="E11" s="14" t="n">
        <x:v>0.8532863855361938</x:v>
      </x:c>
      <x:c r="F11" s="11" t="str">
        <x:v>tec-becas-posgrado::article-16</x:v>
      </x:c>
      <x:c r="G11" s="11" t="str">
        <x:v>No</x:v>
      </x:c>
      <x:c r="H11" s="11" t="str">
        <x:v>No</x:v>
      </x:c>
      <x:c r="I11" s="12" t="str">
        <x:v>Reglamento de becas de posgrado del Instituto Tecnológico de Costa Rica, Artículo 16. Requisitos para recibir la Beca de exoneración del pago de derechos de estudio por primera vez</x:v>
      </x:c>
      <x:c r="J11" s="12" t="str">
        <x:v>https://www.tec.ac.cr/reglamento-becas-posgrado-instituto-tecnologico-costa-rica</x:v>
      </x:c>
      <x:c r="K11" s="12" t="str">
        <x:v>Para que una persona reciba este tipo de beca debe cumplir con los siguientes requisitos: a. Presentar el formulario respectivo b. Haber sido seleccionado en alguna convocatoria de becas de la Dirección de Posgrado o programa de posgrado c. Compromiso por escrito, para cumplir las obligaciones propias de la convocatoria en la que la persona estudiante participó d. Certificación de calificaciones y promedio ponderado de todos los cursos obtenidos en el grado que cursó como requisito para el ingreso al programa de posgrado. e. Firmar la carta de compromiso respectiva en caso de adjudicación de becas.</x:v>
      </x:c>
      <x:c r="L11" s="12" t="str">
        <x:v>tec-becas-posgrado::article-16::chunk-001</x:v>
      </x:c>
      <x:c r="M11" s="12" t="str">
        <x:v>tec-becas-posgrado</x:v>
      </x:c>
    </x:row>
    <x:row r="12" ht="92" customHeight="1">
      <x:c r="A12" s="11" t="str">
        <x:v>q003</x:v>
      </x:c>
      <x:c r="B12" s="11" t="str">
        <x:v>direct</x:v>
      </x:c>
      <x:c r="C12" s="11" t="str">
        <x:v>F1</x:v>
      </x:c>
      <x:c r="D12" s="11" t="n">
        <x:v>1</x:v>
      </x:c>
      <x:c r="E12" s="14" t="n">
        <x:v>0.8982933759689331</x:v>
      </x:c>
      <x:c r="F12" s="11" t="str">
        <x:v>tec-equiparacion-asignaturas::article-29</x:v>
      </x:c>
      <x:c r="G12" s="11" t="str">
        <x:v>Sí</x:v>
      </x:c>
      <x:c r="H12" s="11" t="str">
        <x:v>Sí</x:v>
      </x:c>
      <x:c r="I12" s="12" t="str">
        <x:v>Reglamento de Equiparación de Asignaturas del Instituto Tecnológico de Costa Rica, Artículo 29. Imposibilidad de reconocer Trabajo Final de Graduación</x:v>
      </x:c>
      <x:c r="J12" s="12" t="str">
        <x:v>https://www.tec.ac.cr/reglamento-equiparacion-asignaturas-instituto-tecnologico-costa-rica</x:v>
      </x:c>
      <x:c r="K12" s="12" t="str">
        <x:v>Los Trabajos Finales de Graduación no serán susceptibles de equiparación.</x:v>
      </x:c>
      <x:c r="L12" s="12" t="str">
        <x:v>tec-equiparacion-asignaturas::article-29::chunk-001</x:v>
      </x:c>
      <x:c r="M12" s="12" t="str">
        <x:v>tec-equiparacion-asignaturas</x:v>
      </x:c>
    </x:row>
    <x:row r="13" ht="92" customHeight="1">
      <x:c r="A13" s="11" t="str">
        <x:v>q003</x:v>
      </x:c>
      <x:c r="B13" s="11" t="str">
        <x:v>direct</x:v>
      </x:c>
      <x:c r="C13" s="11" t="str">
        <x:v>F2</x:v>
      </x:c>
      <x:c r="D13" s="11" t="n">
        <x:v>2</x:v>
      </x:c>
      <x:c r="E13" s="14" t="n">
        <x:v>0.8841066956520081</x:v>
      </x:c>
      <x:c r="F13" s="11" t="str">
        <x:v>tec-tfg-grado::article-13</x:v>
      </x:c>
      <x:c r="G13" s="11" t="str">
        <x:v>No</x:v>
      </x:c>
      <x:c r="H13" s="11" t="str">
        <x:v>No</x:v>
      </x:c>
      <x:c r="I13" s="12" t="str">
        <x:v>Reforma Integral al Reglamento de Trabajos Finales de Graduación para programas de grado del ITCR, Artículo 13. De las funciones y responsabilidades</x:v>
      </x:c>
      <x:c r="J13" s="12" t="str">
        <x:v>https://www.tec.ac.cr/reforma-integral-reglamento-trabajos-finales-graduacion-programas-grado-itcr</x:v>
      </x:c>
      <x:c r="K13" s="12" t="str">
        <x:v>Funciones y Responsabilidades de los participantes: a. Del Consejo de Escuela o Área Académica: 1. Aprobar el nombramiento del Coordinador del Trabajo Final de Graduación. 2. Aprobar y modificar la reglamentación específica de la escuela o área académica para los Trabajos Finales de Graduación. 3. Definir las orientaciones específicas que rigen los Trabajos Finales de Graduación para cada escuela o área académica. 4. Aprobar y modificar la Guía de Presentación del Informe del Trabajo Final de Graduación, así como los mecanismos de evaluación propuestos por el coordinador de TFG. 5. Resolver en definitiva los recursos de apelación contra las resoluciones en materia del Trabajo Final de Graduación, tomadas por el Director de la Escuela o el Coordinador del Área Académica, según corresponda. 6. Resolver situaciones que se presenten en el desarrollo del Trabajo Final de Graduación, que no estén contempladas en este Reglamento. b. Del Director de Escuela o Coordinador del Área Académica: 1. Proponer al Consejo de Escuela o de Área Académica la carga académica de cada profesor tutor por concepto del Trabajo Final de Graduación. 2. Autorizar la matrícula, cuando sea necesario, de los estudiantes en el Trabajo Final de Graduación. 3. Resolver los recursos de apelación contra las resoluciones en materia del Trabajo Final de Graduación. c. Del Coordinador del Trabajo Final de Graduación: 1. Coordinar con las empresas o instituciones donde se efectuará cada Trabajo Final de Graduación. 2. Velar porque el Trabajo Final de Graduación se desarrolle conforme con lo que establece la normativa vigente. 3. Coordinar, en lo que corresponda, con el Director de la Escuela o el Coordinador de Área Académica el nombramiento de los profesores tutores. 4. Orientar al estudiante en la búsqueda de fuentes de información y consultores, cuando sea necesario. 5. Realizar la programación de las actividades relacionadas</x:v>
      </x:c>
      <x:c r="L13" s="12" t="str">
        <x:v>tec-tfg-grado::article-13::chunk-001</x:v>
      </x:c>
      <x:c r="M13" s="12" t="str">
        <x:v>tec-tfg-grado</x:v>
      </x:c>
    </x:row>
    <x:row r="14" ht="92" customHeight="1">
      <x:c r="A14" s="11" t="str">
        <x:v>q003</x:v>
      </x:c>
      <x:c r="B14" s="11" t="str">
        <x:v>direct</x:v>
      </x:c>
      <x:c r="C14" s="11" t="str">
        <x:v>F3</x:v>
      </x:c>
      <x:c r="D14" s="11" t="n">
        <x:v>3</x:v>
      </x:c>
      <x:c r="E14" s="14" t="n">
        <x:v>0.8821744918823242</x:v>
      </x:c>
      <x:c r="F14" s="11" t="str">
        <x:v>tec-tfg-grado::article-13</x:v>
      </x:c>
      <x:c r="G14" s="11" t="str">
        <x:v>No</x:v>
      </x:c>
      <x:c r="H14" s="11" t="str">
        <x:v>No</x:v>
      </x:c>
      <x:c r="I14" s="12" t="str">
        <x:v>Reforma Integral al Reglamento de Trabajos Finales de Graduación para programas de grado del ITCR, Artículo 13. De las funciones y responsabilidades</x:v>
      </x:c>
      <x:c r="J14" s="12" t="str">
        <x:v>https://www.tec.ac.cr/reforma-integral-reglamento-trabajos-finales-graduacion-programas-grado-itcr</x:v>
      </x:c>
      <x:c r="K14" s="12" t="str">
        <x:v>según el sistema de evaluación definido en cada escuela o área académica. 8. Firmar la bitácora que lleva el estudiante en cada visita que realice a la empresa o institución. 9. Velar por la calidad técnica de la presentación, redacción y ortografía del Informe Final escrito y en formato digital, según la normativa correspondiente de la escuela o área académica. 10. Procurar que la empresa o institución brinde las condiciones necesarias para que el estudiante pueda realizar su Trabajo Final de Graduación. f. Del Consultor: 1. Brindar asesoría a los estudiantes del Trabajo Final de Graduación cuando las características de su Trabajo lo requieran, según el mecanismo definido por cada escuela o área académica. g. Del Asesor en la empresa: 1. Brindar al estudiante el apoyo necesario durante el proceso del Trabajo Final de Graduación. 2. Dar a conocer al estudiante los Reglamentos y Normas que rigen en la empresa o institución. 3. Discutir el Plan de Trabajo, conjuntamente con el profesor tutor y el estudiante. En el caso de proyectos interdisciplinarios la discusión se llevará a cabo con el equipo de trabajo. 4. Evaluar el desempeño y comportamiento del estudiante o estudiantes, según corresponda, durante el proceso del Trabajo Final de Graduación. 5. Mantener una comunicación efectiva con el profesor tutor o coordinador para el caso de proyectos interdisciplinarios durante el desarrollo del Trabajo Final de Graduación. 6. Participar, en la medida de sus posibilidades, en la exposición o defensa pública del Informe del Trabajo Final de Graduación, por parte del estudiante asignado a su empresa. h. Del Tribunal Evaluador: El Tribunal Evaluador estará formado por al menos dos profesores de la escuela o área académica o en su lugar por expertos en el área, los cuales deben estar presentes al momento de la exposición o defensa del Trabajo Final de Graduación. Los miembros del tribunal deberán tener como mínimo el grado académico que están evaluando. Para el caso de proyectos interdisciplinarios deberá existir al menos un profesor o experto de cada una de las carrera</x:v>
      </x:c>
      <x:c r="L14" s="12" t="str">
        <x:v>tec-tfg-grado::article-13::chunk-005</x:v>
      </x:c>
      <x:c r="M14" s="12" t="str">
        <x:v>tec-tfg-grado</x:v>
      </x:c>
    </x:row>
    <x:row r="15" ht="92" customHeight="1">
      <x:c r="A15" s="11" t="str">
        <x:v>q003</x:v>
      </x:c>
      <x:c r="B15" s="11" t="str">
        <x:v>direct</x:v>
      </x:c>
      <x:c r="C15" s="11" t="str">
        <x:v>F4</x:v>
      </x:c>
      <x:c r="D15" s="11" t="n">
        <x:v>4</x:v>
      </x:c>
      <x:c r="E15" s="14" t="n">
        <x:v>0.8816226720809937</x:v>
      </x:c>
      <x:c r="F15" s="11" t="str">
        <x:v>tec-tfg-grado::article-13</x:v>
      </x:c>
      <x:c r="G15" s="11" t="str">
        <x:v>No</x:v>
      </x:c>
      <x:c r="H15" s="11" t="str">
        <x:v>No</x:v>
      </x:c>
      <x:c r="I15" s="12" t="str">
        <x:v>Reforma Integral al Reglamento de Trabajos Finales de Graduación para programas de grado del ITCR, Artículo 13. De las funciones y responsabilidades</x:v>
      </x:c>
      <x:c r="J15" s="12" t="str">
        <x:v>https://www.tec.ac.cr/reforma-integral-reglamento-trabajos-finales-graduacion-programas-grado-itcr</x:v>
      </x:c>
      <x:c r="K15" s="12" t="str">
        <x:v>el Coordinador de Área Académica el nombramiento de los profesores tutores. 4. Orientar al estudiante en la búsqueda de fuentes de información y consultores, cuando sea necesario. 5. Realizar la programación de las actividades relacionadas con el Trabajo Final de Graduación y velar por su cumplimiento. 6. Firmar el acta final, en su calidad de coordinador del curso Trabajo Final de Graduación. 7. Mantener una base de datos actualizada con la información de las empresas o instituciones participantes en el Trabajo Final de Graduación. 8. Disponer de un listado actualizado de los estudiantes que han presentado su Trabajo Final de Graduación. 9. Generar opciones de vinculación con empresas o instituciones para desarrollar Trabajos Finales de Graduación. 10. Velar, en lo que le corresponda, por la confidencialidad de los Trabajos Finales de Graduación, en los casos que lo ameriten. 11.Entregar a la biblioteca, cuando corresponda, una copia en formato digital de cada Trabajo Final de Graduación. 12. Aprobar el perfil del anteproyecto del Trabajo Final de Graduación, según lo establecido en el Artículo 11. 13. Velar por el cumplimiento de la normativa vigente correspondiente al Trabajo Final de Graduación. 14. Informar a las empresas o instituciones sobre la reglamentación y las políticas de la escuela o área académica en relación con el Trabajo Final de Graduación. 15. Procurar que la empresa o institución brinde las condiciones necesarias para que el estudiante pueda realizar su Trabajo Final de Graduación, en caso de no darse éstas, deberá tomar las medidas que se consideren pertinentes. 16. Elaborar y presentar al Consejo de Escuela o de Área Académica la propuesta de Guía de Presentación del Informe del Trabajo Final de Graduación, así como los mecanismos de evaluación propuestos por el coordinador de TFG. 17. Elaborar y presentar al Consejo de Escuela o Área Académica la propuesta de Reglamentación Interna del Trabajo Final de Graduación. 18. Nombra</x:v>
      </x:c>
      <x:c r="L15" s="12" t="str">
        <x:v>tec-tfg-grado::article-13::chunk-002</x:v>
      </x:c>
      <x:c r="M15" s="12" t="str">
        <x:v>tec-tfg-grado</x:v>
      </x:c>
    </x:row>
    <x:row r="16" ht="92" customHeight="1">
      <x:c r="A16" s="11" t="str">
        <x:v>q003</x:v>
      </x:c>
      <x:c r="B16" s="11" t="str">
        <x:v>direct</x:v>
      </x:c>
      <x:c r="C16" s="11" t="str">
        <x:v>F5</x:v>
      </x:c>
      <x:c r="D16" s="11" t="n">
        <x:v>5</x:v>
      </x:c>
      <x:c r="E16" s="14" t="n">
        <x:v>0.8803348541259766</x:v>
      </x:c>
      <x:c r="F16" s="11" t="str">
        <x:v>tec-tfg-grado::article-12</x:v>
      </x:c>
      <x:c r="G16" s="11" t="str">
        <x:v>No</x:v>
      </x:c>
      <x:c r="H16" s="11" t="str">
        <x:v>No</x:v>
      </x:c>
      <x:c r="I16" s="12" t="str">
        <x:v>Reforma Integral al Reglamento de Trabajos Finales de Graduación para programas de grado del ITCR, Artículo 12</x:v>
      </x:c>
      <x:c r="J16" s="12" t="str">
        <x:v>https://www.tec.ac.cr/reforma-integral-reglamento-trabajos-finales-graduacion-programas-grado-itcr</x:v>
      </x:c>
      <x:c r="K16" s="12" t="str">
        <x:v>Cada Trabajo Final de Graduación debe ser aprobado antes de su realización, para ello el estudiante aportará la documentación correspondiente, según los mecanismos que cada unidad académica establezca.</x:v>
      </x:c>
      <x:c r="L16" s="12" t="str">
        <x:v>tec-tfg-grado::article-12::chunk-001</x:v>
      </x:c>
      <x:c r="M16" s="12" t="str">
        <x:v>tec-tfg-grado</x:v>
      </x:c>
    </x:row>
    <x:row r="17" ht="92" customHeight="1">
      <x:c r="A17" s="11" t="str">
        <x:v>q004</x:v>
      </x:c>
      <x:c r="B17" s="11" t="str">
        <x:v>direct</x:v>
      </x:c>
      <x:c r="C17" s="11" t="str">
        <x:v>F1</x:v>
      </x:c>
      <x:c r="D17" s="11" t="n">
        <x:v>1</x:v>
      </x:c>
      <x:c r="E17" s="14" t="n">
        <x:v>0.9062075018882751</x:v>
      </x:c>
      <x:c r="F17" s="11" t="str">
        <x:v>tec-residencias-estudiantiles::article-1</x:v>
      </x:c>
      <x:c r="G17" s="11" t="str">
        <x:v>Sí</x:v>
      </x:c>
      <x:c r="H17" s="11" t="str">
        <x:v>Sí</x:v>
      </x:c>
      <x:c r="I17" s="12" t="str">
        <x:v>Reglamento para el Funcionamiento del Programa de Residencias Estudiantiles del Instituto Tecnológico de Costa Rica, Artículo 1</x:v>
      </x:c>
      <x:c r="J17" s="12" t="str">
        <x:v>https://www.tec.ac.cr/reglamento-funcionamiento-programa-residencias-estudiantiles-instituto-tecnologico-costa-rica</x:v>
      </x:c>
      <x:c r="K17" s="12" t="str">
        <x:v>El objetivo general del Programa de Residencias Estudiantiles es favorecer la atracción y la permanencia de los(as) estudiantes de condición socioeconómica limitada, que proceden de una zona de difícil acceso o alejada del lugar donde se imparte la carrera, con el fin de contribuir a que alcancen una meta profesional en condiciones que propicien su formación integral y garanticen la equidad e igualdad de oportunidades para todos (as) los (as) estudiantes.</x:v>
      </x:c>
      <x:c r="L17" s="12" t="str">
        <x:v>tec-residencias-estudiantiles::article-1::chunk-001</x:v>
      </x:c>
      <x:c r="M17" s="12" t="str">
        <x:v>tec-residencias-estudiantiles</x:v>
      </x:c>
    </x:row>
    <x:row r="18" ht="92" customHeight="1">
      <x:c r="A18" s="11" t="str">
        <x:v>q004</x:v>
      </x:c>
      <x:c r="B18" s="11" t="str">
        <x:v>direct</x:v>
      </x:c>
      <x:c r="C18" s="11" t="str">
        <x:v>F2</x:v>
      </x:c>
      <x:c r="D18" s="11" t="n">
        <x:v>2</x:v>
      </x:c>
      <x:c r="E18" s="14" t="n">
        <x:v>0.8854199051856995</x:v>
      </x:c>
      <x:c r="F18" s="11" t="str">
        <x:v>tec-residencias-estudiantiles::article-2</x:v>
      </x:c>
      <x:c r="G18" s="11" t="str">
        <x:v>No</x:v>
      </x:c>
      <x:c r="H18" s="11" t="str">
        <x:v>No</x:v>
      </x:c>
      <x:c r="I18" s="12" t="str">
        <x:v>Reglamento para el Funcionamiento del Programa de Residencias Estudiantiles del Instituto Tecnológico de Costa Rica, Artículo 2</x:v>
      </x:c>
      <x:c r="J18" s="12" t="str">
        <x:v>https://www.tec.ac.cr/reglamento-funcionamiento-programa-residencias-estudiantiles-instituto-tecnologico-costa-rica</x:v>
      </x:c>
      <x:c r="K18" s="12" t="str">
        <x:v>Los objetivos específicos del Programa son: a. Favorecer la atracción y permanencia de los (as) estudiantes de condición socioeconómica limitada que proceden de una zona de difícil acceso o alejada del campus donde se imparte la carrera y de los (as) estudiantes que por su condición socioeconómica, condición de discapacidad o provenientes de familias disfuncionales requieren ubicarse cerca del campus. La condición socioeconómica se considerará como prioritaria, en condiciones de disponibilidad de cupos podrá considerarse los otros criterios. b. Coadyuvar a una buena calidad de vida de o la estudiante que requiera desligarse de su núcleo familiar para realizar estudios en el Instituto Tecnológico de Costa Rica. c. Promover la integración de los aspectos propios de la convivencia, colectividad y responsabilidad así como la equidad de género y de oportunidades, como aspectos fundamentales de la formación de el o la estudiante. d. Propiciar que los (as) estudiantes desarrollen hábitos y técnicas de estudio, de organización y de recreación, que favorezcan su integración al medio universitario y un óptimo rendimiento académico. e. Garantizar la equidad e igualdad de oportunidades para los y las estudiantes con alguna discapacidad.</x:v>
      </x:c>
      <x:c r="L18" s="12" t="str">
        <x:v>tec-residencias-estudiantiles::article-2::chunk-001</x:v>
      </x:c>
      <x:c r="M18" s="12" t="str">
        <x:v>tec-residencias-estudiantiles</x:v>
      </x:c>
    </x:row>
    <x:row r="19" ht="92" customHeight="1">
      <x:c r="A19" s="11" t="str">
        <x:v>q004</x:v>
      </x:c>
      <x:c r="B19" s="11" t="str">
        <x:v>direct</x:v>
      </x:c>
      <x:c r="C19" s="11" t="str">
        <x:v>F3</x:v>
      </x:c>
      <x:c r="D19" s="11" t="n">
        <x:v>3</x:v>
      </x:c>
      <x:c r="E19" s="14" t="n">
        <x:v>0.8638224005699158</x:v>
      </x:c>
      <x:c r="F19" s="11" t="str">
        <x:v>tec-residencias-estudiantiles::article-9</x:v>
      </x:c>
      <x:c r="G19" s="11" t="str">
        <x:v>No</x:v>
      </x:c>
      <x:c r="H19" s="11" t="str">
        <x:v>No</x:v>
      </x:c>
      <x:c r="I19" s="12" t="str">
        <x:v>Reglamento para el Funcionamiento del Programa de Residencias Estudiantiles del Instituto Tecnológico de Costa Rica, Artículo 9</x:v>
      </x:c>
      <x:c r="J19" s="12" t="str">
        <x:v>https://www.tec.ac.cr/reglamento-funcionamiento-programa-residencias-estudiantiles-instituto-tecnologico-costa-rica</x:v>
      </x:c>
      <x:c r="K19" s="12" t="str">
        <x:v>Estudiantiles según recomendaciones de la Asesoría Legal del Instituto Tecnológico de Costa Rica. g. Proponer los cambios necesarios para adecuar los servicios a nuevas condiciones y situaciones de convivencia. h. Autorizar la permanencia e ingreso de un(a) estudiante con necesidades especiales, cuando por razones justificadas no cumpla alguno de los requisitos, previa recomendación del o la Encargado(a) de Residencias Estudiantiles.</x:v>
      </x:c>
      <x:c r="L19" s="12" t="str">
        <x:v>tec-residencias-estudiantiles::article-9::chunk-002</x:v>
      </x:c>
      <x:c r="M19" s="12" t="str">
        <x:v>tec-residencias-estudiantiles</x:v>
      </x:c>
    </x:row>
    <x:row r="20" ht="92" customHeight="1">
      <x:c r="A20" s="11" t="str">
        <x:v>q004</x:v>
      </x:c>
      <x:c r="B20" s="11" t="str">
        <x:v>direct</x:v>
      </x:c>
      <x:c r="C20" s="11" t="str">
        <x:v>F4</x:v>
      </x:c>
      <x:c r="D20" s="11" t="n">
        <x:v>4</x:v>
      </x:c>
      <x:c r="E20" s="14" t="n">
        <x:v>0.8600899577140808</x:v>
      </x:c>
      <x:c r="F20" s="11" t="str">
        <x:v>tec-residencias-estudiantiles::article-4</x:v>
      </x:c>
      <x:c r="G20" s="11" t="str">
        <x:v>No</x:v>
      </x:c>
      <x:c r="H20" s="11" t="str">
        <x:v>No</x:v>
      </x:c>
      <x:c r="I20" s="12" t="str">
        <x:v>Reglamento para el Funcionamiento del Programa de Residencias Estudiantiles del Instituto Tecnológico de Costa Rica, Artículo 4</x:v>
      </x:c>
      <x:c r="J20" s="12" t="str">
        <x:v>https://www.tec.ac.cr/reglamento-funcionamiento-programa-residencias-estudiantiles-instituto-tecnologico-costa-rica</x:v>
      </x:c>
      <x:c r="K20" s="12" t="str">
        <x:v>El Programa de Residencias Estudiantiles estará a cargo del o la Vicerrector (a) de Vida Estudiantil y Servicios Académicos.</x:v>
      </x:c>
      <x:c r="L20" s="12" t="str">
        <x:v>tec-residencias-estudiantiles::article-4::chunk-001</x:v>
      </x:c>
      <x:c r="M20" s="12" t="str">
        <x:v>tec-residencias-estudiantiles</x:v>
      </x:c>
    </x:row>
    <x:row r="21" ht="92" customHeight="1">
      <x:c r="A21" s="11" t="str">
        <x:v>q004</x:v>
      </x:c>
      <x:c r="B21" s="11" t="str">
        <x:v>direct</x:v>
      </x:c>
      <x:c r="C21" s="11" t="str">
        <x:v>F5</x:v>
      </x:c>
      <x:c r="D21" s="11" t="n">
        <x:v>5</x:v>
      </x:c>
      <x:c r="E21" s="14" t="n">
        <x:v>0.8594576120376587</x:v>
      </x:c>
      <x:c r="F21" s="11" t="str">
        <x:v>tec-residencias-estudiantiles::article-12</x:v>
      </x:c>
      <x:c r="G21" s="11" t="str">
        <x:v>No</x:v>
      </x:c>
      <x:c r="H21" s="11" t="str">
        <x:v>No</x:v>
      </x:c>
      <x:c r="I21" s="12" t="str">
        <x:v>Reglamento para el Funcionamiento del Programa de Residencias Estudiantiles del Instituto Tecnológico de Costa Rica, Artículo 12</x:v>
      </x:c>
      <x:c r="J21" s="12" t="str">
        <x:v>https://www.tec.ac.cr/reglamento-funcionamiento-programa-residencias-estudiantiles-instituto-tecnologico-costa-rica</x:v>
      </x:c>
      <x:c r="K21" s="12" t="str">
        <x:v>Son funciones de la Asamblea de Estudiantes Residentes, las siguientes: a. Servir de foro de discusión al interior de las Residencias. b. Discutir el funcionamiento interno de las Residencias, y proponer soluciones colectivas según sus necesidades.</x:v>
      </x:c>
      <x:c r="L21" s="12" t="str">
        <x:v>tec-residencias-estudiantiles::article-12::chunk-001</x:v>
      </x:c>
      <x:c r="M21" s="12" t="str">
        <x:v>tec-residencias-estudiantiles</x:v>
      </x:c>
    </x:row>
    <x:row r="22" ht="92" customHeight="1">
      <x:c r="A22" s="11" t="str">
        <x:v>q005</x:v>
      </x:c>
      <x:c r="B22" s="11" t="str">
        <x:v>direct</x:v>
      </x:c>
      <x:c r="C22" s="11" t="str">
        <x:v>F1</x:v>
      </x:c>
      <x:c r="D22" s="11" t="n">
        <x:v>1</x:v>
      </x:c>
      <x:c r="E22" s="14" t="n">
        <x:v>0.8953038454055786</x:v>
      </x:c>
      <x:c r="F22" s="11" t="str">
        <x:v>tec-defensoria-estudiantil::article-8</x:v>
      </x:c>
      <x:c r="G22" s="11" t="str">
        <x:v>Sí</x:v>
      </x:c>
      <x:c r="H22" s="11" t="str">
        <x:v>Sí</x:v>
      </x:c>
      <x:c r="I22" s="12" t="str">
        <x:v>Reglamento de la Defensoría Estudiantil, Artículo 8. Atención de la población de estudiantil</x:v>
      </x:c>
      <x:c r="J22" s="12" t="str">
        <x:v>https://www.tec.ac.cr/reglamento-funcionamiento-defensoria-estudiantil</x:v>
      </x:c>
      <x:c r="K22" s="12" t="str">
        <x:v>Podrá dirigirse a la Defensoría todo estudiante regular del ITCR o de cualquier ente adscrito a la Federación de Estudiantes, sus tutores, sus representantes judiciales o extrajudiciales, así como todo funcionario del ITCR cuando exista algún tipo de violación a los derechos e intereses de las y los estudiantes.</x:v>
      </x:c>
      <x:c r="L22" s="12" t="str">
        <x:v>tec-defensoria-estudiantil::article-8::chunk-001</x:v>
      </x:c>
      <x:c r="M22" s="12" t="str">
        <x:v>tec-defensoria-estudiantil</x:v>
      </x:c>
    </x:row>
    <x:row r="23" ht="92" customHeight="1">
      <x:c r="A23" s="11" t="str">
        <x:v>q005</x:v>
      </x:c>
      <x:c r="B23" s="11" t="str">
        <x:v>direct</x:v>
      </x:c>
      <x:c r="C23" s="11" t="str">
        <x:v>F2</x:v>
      </x:c>
      <x:c r="D23" s="11" t="n">
        <x:v>2</x:v>
      </x:c>
      <x:c r="E23" s="14" t="n">
        <x:v>0.8796732425689697</x:v>
      </x:c>
      <x:c r="F23" s="11" t="str">
        <x:v>tec-convivencia-disciplina::article-33</x:v>
      </x:c>
      <x:c r="G23" s="11" t="str">
        <x:v>No</x:v>
      </x:c>
      <x:c r="H23" s="11" t="str">
        <x:v>Sí</x:v>
      </x:c>
      <x:c r="I23" s="12" t="str">
        <x:v>Reglamento de Convivencia y Régimen disciplinario para la Comunidad Estudiantil, Artículo 33. Derecho de Asesoría o Representación</x:v>
      </x:c>
      <x:c r="J23" s="12" t="str">
        <x:v>https://www.tec.ac.cr/reglamento-convivencia-regimen-disciplinario-comunidad-estudiantil-instituto-tecnologico-costa-rica</x:v>
      </x:c>
      <x:c r="K23" s="12" t="str">
        <x:v>Las partes estudiantiles en cada proceso, denunciante o demandada, tienen el derecho de ser asistidas por una persona profesional en derecho de su elección, la cual deberá estar colegiada y presentar el carné vigente, así como técnicos o especialistas, según sea requerido en cada caso. En el caso de que la persona estudiante menor de edad deberá hacerse acompañar por su representante legal. Además, podrán acudir a la Defensoría Estudiantil para solicitar el apoyo legal. En el caso de la parte denunciada podrá acudir a esta instancia, siempre que la víctima no sea otra persona de la comunidad estudiantil.</x:v>
      </x:c>
      <x:c r="L23" s="12" t="str">
        <x:v>tec-convivencia-disciplina::article-33::chunk-001</x:v>
      </x:c>
      <x:c r="M23" s="12" t="str">
        <x:v>tec-convivencia-disciplina</x:v>
      </x:c>
    </x:row>
    <x:row r="24" ht="92" customHeight="1">
      <x:c r="A24" s="11" t="str">
        <x:v>q005</x:v>
      </x:c>
      <x:c r="B24" s="11" t="str">
        <x:v>direct</x:v>
      </x:c>
      <x:c r="C24" s="11" t="str">
        <x:v>F3</x:v>
      </x:c>
      <x:c r="D24" s="11" t="n">
        <x:v>3</x:v>
      </x:c>
      <x:c r="E24" s="14" t="n">
        <x:v>0.8788989186286926</x:v>
      </x:c>
      <x:c r="F24" s="11" t="str">
        <x:v>tec-defensoria-estudiantil::article-28</x:v>
      </x:c>
      <x:c r="G24" s="11" t="str">
        <x:v>No</x:v>
      </x:c>
      <x:c r="H24" s="11" t="str">
        <x:v>No</x:v>
      </x:c>
      <x:c r="I24" s="12" t="str">
        <x:v>Reglamento de la Defensoría Estudiantil, Artículo 28. Coordinación con otras instituciones.</x:v>
      </x:c>
      <x:c r="J24" s="12" t="str">
        <x:v>https://www.tec.ac.cr/reglamento-funcionamiento-defensoria-estudiantil</x:v>
      </x:c>
      <x:c r="K24" s="12" t="str">
        <x:v>La Defensoría podrá coordinar acciones con otras instituciones u organizaciones, públicas o privadas, nacionales e internacionales para la divulgación y ejercicio efectivo de los derechos e intereses de las y los estudiantes.</x:v>
      </x:c>
      <x:c r="L24" s="12" t="str">
        <x:v>tec-defensoria-estudiantil::article-28::chunk-001</x:v>
      </x:c>
      <x:c r="M24" s="12" t="str">
        <x:v>tec-defensoria-estudiantil</x:v>
      </x:c>
    </x:row>
    <x:row r="25" ht="92" customHeight="1">
      <x:c r="A25" s="11" t="str">
        <x:v>q005</x:v>
      </x:c>
      <x:c r="B25" s="11" t="str">
        <x:v>direct</x:v>
      </x:c>
      <x:c r="C25" s="11" t="str">
        <x:v>F4</x:v>
      </x:c>
      <x:c r="D25" s="11" t="n">
        <x:v>4</x:v>
      </x:c>
      <x:c r="E25" s="14" t="n">
        <x:v>0.8730294704437256</x:v>
      </x:c>
      <x:c r="F25" s="11" t="str">
        <x:v>tec-defensoria-estudiantil::article-6</x:v>
      </x:c>
      <x:c r="G25" s="11" t="str">
        <x:v>No</x:v>
      </x:c>
      <x:c r="H25" s="11" t="str">
        <x:v>No</x:v>
      </x:c>
      <x:c r="I25" s="12" t="str">
        <x:v>Reglamento de la Defensoría Estudiantil, Artículo 6. De la Naturaleza y Organización de la Defensoria</x:v>
      </x:c>
      <x:c r="J25" s="12" t="str">
        <x:v>https://www.tec.ac.cr/reglamento-funcionamiento-defensoria-estudiantil</x:v>
      </x:c>
      <x:c r="K25" s="12" t="str">
        <x:v>La Defensoría Estudiantil está adscrita a la VIESA (Vicerrectoría de Vida Estudiantil y Servicios Académicos) del Instituto Tecnológico de Costa Rica denominada para efectos de este reglamento “La Defensoría” o “DE”, es un órgano especializado en velar por la promoción, la tutela, la defensa de los derechos y la protección de los derechos y los intereses de las y los estudiantes del ITCR.</x:v>
      </x:c>
      <x:c r="L25" s="12" t="str">
        <x:v>tec-defensoria-estudiantil::article-6::chunk-001</x:v>
      </x:c>
      <x:c r="M25" s="12" t="str">
        <x:v>tec-defensoria-estudiantil</x:v>
      </x:c>
    </x:row>
    <x:row r="26" ht="92" customHeight="1">
      <x:c r="A26" s="11" t="str">
        <x:v>q005</x:v>
      </x:c>
      <x:c r="B26" s="11" t="str">
        <x:v>direct</x:v>
      </x:c>
      <x:c r="C26" s="11" t="str">
        <x:v>F5</x:v>
      </x:c>
      <x:c r="D26" s="11" t="n">
        <x:v>5</x:v>
      </x:c>
      <x:c r="E26" s="14" t="n">
        <x:v>0.8701416850090027</x:v>
      </x:c>
      <x:c r="F26" s="11" t="str">
        <x:v>tec-defensoria-estudiantil::article-12</x:v>
      </x:c>
      <x:c r="G26" s="11" t="str">
        <x:v>No</x:v>
      </x:c>
      <x:c r="H26" s="11" t="str">
        <x:v>No</x:v>
      </x:c>
      <x:c r="I26" s="12" t="str">
        <x:v>Reglamento de la Defensoría Estudiantil, Artículo 12. Independencia</x:v>
      </x:c>
      <x:c r="J26" s="12" t="str">
        <x:v>https://www.tec.ac.cr/reglamento-funcionamiento-defensoria-estudiantil</x:v>
      </x:c>
      <x:c r="K26" s="12" t="str">
        <x:v>La Defensoría Estudiantil es una dependencia adscrita a la VIESA, tanto presupuestariamente como de directrices y dentro de sus funciones colabora con la Asesoría Legal a la Federación de Estudiantes (FEITEC), pero desempeñará sus actividades con autonomía de criterio.</x:v>
      </x:c>
      <x:c r="L26" s="12" t="str">
        <x:v>tec-defensoria-estudiantil::article-12::chunk-001</x:v>
      </x:c>
      <x:c r="M26" s="12" t="str">
        <x:v>tec-defensoria-estudiantil</x:v>
      </x:c>
    </x:row>
    <x:row r="27" ht="92" customHeight="1">
      <x:c r="A27" s="11" t="str">
        <x:v>q006</x:v>
      </x:c>
      <x:c r="B27" s="11" t="str">
        <x:v>direct</x:v>
      </x:c>
      <x:c r="C27" s="11" t="str">
        <x:v>F1</x:v>
      </x:c>
      <x:c r="D27" s="11" t="n">
        <x:v>1</x:v>
      </x:c>
      <x:c r="E27" s="14" t="n">
        <x:v>0.9052820801734924</x:v>
      </x:c>
      <x:c r="F27" s="11" t="str">
        <x:v>tec-becas-posgrado::article-14</x:v>
      </x:c>
      <x:c r="G27" s="11" t="str">
        <x:v>Sí</x:v>
      </x:c>
      <x:c r="H27" s="11" t="str">
        <x:v>Sí</x:v>
      </x:c>
      <x:c r="I27" s="12" t="str">
        <x:v>Reglamento de becas de posgrado del Instituto Tecnológico de Costa Rica, Artículo 14. Requisitos para optar por primera vez a una Beca Estudiante Asistente para Proyectos de Investigación y Extensión</x:v>
      </x:c>
      <x:c r="J27" s="12" t="str">
        <x:v>https://www.tec.ac.cr/reglamento-becas-posgrado-instituto-tecnologico-costa-rica</x:v>
      </x:c>
      <x:c r="K27" s="12" t="str">
        <x:v>Una persona estudiante de posgrado que desee optar por primera vez a este tipo de beca, debe cumplir o presentar: a. Carta que certifique la admisión en un programa de posgrado en el TEC. b. Formulario respectivo de la convocatoria presentado en el periodo establecido y con la información completa c. El tema del proyecto de investigación aprobado por el programa en que participe la persona estudiante debe estar estrechamente vinculado con el tema del proyecto de investigación o extensión inscrito en la VIE. d. Certificación de calificaciones y promedio ponderado de todos los cursos obtenidos en el grado que cursó como requisito para el ingreso al programa de posgrado. e. Compromiso por escrito, para dedicarse al proyecto de investigación o extensión en que participará, al menos veinte horas semanales, en caso de cursar un programa de maestría, o cuarenta horas semanales, en caso de cursar un programa de doctorado. f. Evidencia constatada de una jornada laboral que no supere las 20 horas semanales. g. Carta del programa de posgrado respectivo en el que se avala la solicitud de exoneración del pago de derechos de estudio. h. Evidencia constatada y comprobable de la experiencia del postulante en proyectos de investigación o de extensión; así como asistencias en las que se haya desempeñado. i. Firmar el contrato respectivo en caso de adjudicación de becas.</x:v>
      </x:c>
      <x:c r="L27" s="12" t="str">
        <x:v>tec-becas-posgrado::article-14::chunk-001</x:v>
      </x:c>
      <x:c r="M27" s="12" t="str">
        <x:v>tec-becas-posgrado</x:v>
      </x:c>
    </x:row>
    <x:row r="28" ht="92" customHeight="1">
      <x:c r="A28" s="11" t="str">
        <x:v>q006</x:v>
      </x:c>
      <x:c r="B28" s="11" t="str">
        <x:v>direct</x:v>
      </x:c>
      <x:c r="C28" s="11" t="str">
        <x:v>F2</x:v>
      </x:c>
      <x:c r="D28" s="11" t="n">
        <x:v>2</x:v>
      </x:c>
      <x:c r="E28" s="14" t="n">
        <x:v>0.8971537351608276</x:v>
      </x:c>
      <x:c r="F28" s="11" t="str">
        <x:v>tec-becas-posgrado::article-15</x:v>
      </x:c>
      <x:c r="G28" s="11" t="str">
        <x:v>No</x:v>
      </x:c>
      <x:c r="H28" s="11" t="str">
        <x:v>No</x:v>
      </x:c>
      <x:c r="I28" s="12" t="str">
        <x:v>Reglamento de becas de posgrado del Instituto Tecnológico de Costa Rica, Artículo 15. Requisitos para la renovación de la Beca estudiante asistente para proyectos de investigación y extensión</x:v>
      </x:c>
      <x:c r="J28" s="12" t="str">
        <x:v>https://www.tec.ac.cr/reglamento-becas-posgrado-instituto-tecnologico-costa-rica</x:v>
      </x:c>
      <x:c r="K28" s="12" t="str">
        <x:v>La renovación de la beca se realizará anualmente, hasta un máximo de dos años para maestría y cuatro años para doctorado, según la disponibilidad de fondos. Para la respectiva renovación la persona beneficiaria deberá cumplir o presentar: a. Haber cumplido satisfactoriamente con la entrega de informes parciales por cada periodo académico según la modalidad del programa de posgrado. b. Haber obtenido un promedio ponderado anual al menos de 80, durante el último periodo de disfrute de la beca. c. Haber matriculado el bloque completo del programa de posgrado en que esté admitido, durante el tiempo de disfrute de la beca. En caso de tener condición IN, el programa deberá enviar la justificación respectiva. d. Compromiso por escrito para dedicarse al proyecto de investigación o extensión en que participará, al menos veinte horas semanales, en caso de cursar un programa de maestría, o cuarenta horas semanales, en caso de cursar un programa de doctorado. e. Evidencia constatada de una jornada laboral que no supere las 20 horas semanales. f. Presentar el formulario respectivo en el periodo establecido y con la información completa g. Firmar el contrato respectivo en caso de adjudicación de becas.</x:v>
      </x:c>
      <x:c r="L28" s="12" t="str">
        <x:v>tec-becas-posgrado::article-15::chunk-001</x:v>
      </x:c>
      <x:c r="M28" s="12" t="str">
        <x:v>tec-becas-posgrado</x:v>
      </x:c>
    </x:row>
    <x:row r="29" ht="92" customHeight="1">
      <x:c r="A29" s="11" t="str">
        <x:v>q006</x:v>
      </x:c>
      <x:c r="B29" s="11" t="str">
        <x:v>direct</x:v>
      </x:c>
      <x:c r="C29" s="11" t="str">
        <x:v>F3</x:v>
      </x:c>
      <x:c r="D29" s="11" t="n">
        <x:v>3</x:v>
      </x:c>
      <x:c r="E29" s="14" t="n">
        <x:v>0.8913449645042419</x:v>
      </x:c>
      <x:c r="F29" s="11" t="str">
        <x:v>tec-beca-asistente-investigacion::article-11</x:v>
      </x:c>
      <x:c r="G29" s="11" t="str">
        <x:v>No</x:v>
      </x:c>
      <x:c r="H29" s="11" t="str">
        <x:v>No</x:v>
      </x:c>
      <x:c r="I29" s="12" t="str">
        <x:v>Normativa de Beca del Estudiante Asistente para Proyectos de Investigación y Extensión, Artículo 11</x:v>
      </x:c>
      <x:c r="J29" s="12" t="str">
        <x:v>https://www.tec.ac.cr/normativa-beca-estudiante-asistente-proyectos-investigacion-extension</x:v>
      </x:c>
      <x:c r="K29" s="12" t="str">
        <x:v>Serán requisitos para las y los estudiantes que deseen participar como Estudiante Asistente para Proyectos de Investigación y Extensión: Ser estudiante activo del Instituto Tecnológico de Costa Rica Estar dispuesto a dedicar un máximo de 20 horas por semana a las actividades requeridas como apoyo al proyecto de investigación y extensión, con excepción de los estudiantes que cursan trabajo final de graduación y que estos sean parte de un proyecto de investigación o de extensión inscrito en la VIE, en cuyo caso podrán dedicarse hasta por un máximo de 40 horas semanales Cumplir con las especificaciones particulares que establezcan el o los investigadores responsables del proyecto de investigación, extensión y actividad de fortalecimiento a la investigación</x:v>
      </x:c>
      <x:c r="L29" s="12" t="str">
        <x:v>tec-beca-asistente-investigacion::article-11::chunk-001</x:v>
      </x:c>
      <x:c r="M29" s="12" t="str">
        <x:v>tec-beca-asistente-investigacion</x:v>
      </x:c>
    </x:row>
    <x:row r="30" ht="92" customHeight="1">
      <x:c r="A30" s="11" t="str">
        <x:v>q006</x:v>
      </x:c>
      <x:c r="B30" s="11" t="str">
        <x:v>direct</x:v>
      </x:c>
      <x:c r="C30" s="11" t="str">
        <x:v>F4</x:v>
      </x:c>
      <x:c r="D30" s="11" t="n">
        <x:v>4</x:v>
      </x:c>
      <x:c r="E30" s="14" t="n">
        <x:v>0.8897426128387451</x:v>
      </x:c>
      <x:c r="F30" s="11" t="str">
        <x:v>tec-beca-asistente-especial::article-12</x:v>
      </x:c>
      <x:c r="G30" s="11" t="str">
        <x:v>No</x:v>
      </x:c>
      <x:c r="H30" s="11" t="str">
        <x:v>No</x:v>
      </x:c>
      <x:c r="I30" s="12" t="str">
        <x:v>Reglamento de Beca del Estudiante Asistente Especial del Instituto Tecnológico de Costa Rica, Artículo 12</x:v>
      </x:c>
      <x:c r="J30" s="12" t="str">
        <x:v>https://www.tec.ac.cr/reglamento-beca-estudiante-asistente-especial-instituto-tecnologico-costa-rica</x:v>
      </x:c>
      <x:c r="K30" s="12" t="str">
        <x:v>Las horas por semana que un(a) estudiante beneficiario(a) podrá dedicar para efectuar las actividades mencionadas, será de un mínimo de diez y un máximo de veinte, las cuales el o la estudiante las podrá efectuar en la oficina del o la funcionario(a) responsable o fuera de esta, según la índole de la función. El horario para ello se establecerá de común acuerdo entre el o la estudiante y el o la funcionario(a) respectivo(a).</x:v>
      </x:c>
      <x:c r="L30" s="12" t="str">
        <x:v>tec-beca-asistente-especial::article-12::chunk-001</x:v>
      </x:c>
      <x:c r="M30" s="12" t="str">
        <x:v>tec-beca-asistente-especial</x:v>
      </x:c>
    </x:row>
    <x:row r="31" ht="92" customHeight="1">
      <x:c r="A31" s="11" t="str">
        <x:v>q006</x:v>
      </x:c>
      <x:c r="B31" s="11" t="str">
        <x:v>direct</x:v>
      </x:c>
      <x:c r="C31" s="11" t="str">
        <x:v>F5</x:v>
      </x:c>
      <x:c r="D31" s="11" t="n">
        <x:v>5</x:v>
      </x:c>
      <x:c r="E31" s="14" t="n">
        <x:v>0.8859446048736572</x:v>
      </x:c>
      <x:c r="F31" s="11" t="str">
        <x:v>tec-beca-asistente-investigacion::article-9</x:v>
      </x:c>
      <x:c r="G31" s="11" t="str">
        <x:v>No</x:v>
      </x:c>
      <x:c r="H31" s="11" t="str">
        <x:v>No</x:v>
      </x:c>
      <x:c r="I31" s="12" t="str">
        <x:v>Normativa de Beca del Estudiante Asistente para Proyectos de Investigación y Extensión, Artículo 9</x:v>
      </x:c>
      <x:c r="J31" s="12" t="str">
        <x:v>https://www.tec.ac.cr/normativa-beca-estudiante-asistente-proyectos-investigacion-extension</x:v>
      </x:c>
      <x:c r="K31" s="12" t="str">
        <x:v>Al asignar a un(a) estudiante horas para la beca Estudiante Asistente para Proyectos de Investigación y Extensión el responsable del proyecto le indicará al estudiante las labores que deberá realizar, los alcances de su participación y el horario que deberá cumplir.</x:v>
      </x:c>
      <x:c r="L31" s="12" t="str">
        <x:v>tec-beca-asistente-investigacion::article-9::chunk-001</x:v>
      </x:c>
      <x:c r="M31" s="12" t="str">
        <x:v>tec-beca-asistente-investigacion</x:v>
      </x:c>
    </x:row>
    <x:row r="32" ht="92" customHeight="1">
      <x:c r="A32" s="11" t="str">
        <x:v>q007</x:v>
      </x:c>
      <x:c r="B32" s="11" t="str">
        <x:v>direct</x:v>
      </x:c>
      <x:c r="C32" s="11" t="str">
        <x:v>F1</x:v>
      </x:c>
      <x:c r="D32" s="11" t="n">
        <x:v>1</x:v>
      </x:c>
      <x:c r="E32" s="14" t="n">
        <x:v>0.9066820740699768</x:v>
      </x:c>
      <x:c r="F32" s="11" t="str">
        <x:v>tec-convivencia-disciplina::article-37</x:v>
      </x:c>
      <x:c r="G32" s="11" t="str">
        <x:v>Sí</x:v>
      </x:c>
      <x:c r="H32" s="11" t="str">
        <x:v>Sí</x:v>
      </x:c>
      <x:c r="I32" s="12" t="str">
        <x:v>Reglamento de Convivencia y Régimen disciplinario para la Comunidad Estudiantil, Artículo 37. Derecho a Recurrir las resoluciones</x:v>
      </x:c>
      <x:c r="J32" s="12" t="str">
        <x:v>https://www.tec.ac.cr/reglamento-convivencia-regimen-disciplinario-comunidad-estudiantil-instituto-tecnologico-costa-rica</x:v>
      </x:c>
      <x:c r="K32" s="12" t="str">
        <x:v>La persona sancionada por este procedimiento podrá establecer recursos de revocatoria y de apelación contra las sanciones que se le apliquen. Los recursos podrán plantearse de forma escrita o por medios electrónicos, dentro de los tres días hábiles siguientes a la fecha de comunicación de la sanción. Podrá plantear los recursos en forma concomitante, o en forma separada en el plazo de tres días después de la notificación. El Recurso de Revocatoria será resuelto por el Tribunal Disciplinario Formativo y el recurso de apelación será resuelto por quien ejerce la autoridad de la Vicerrectoría de Vida Estudiantil y Servicios Académicos. El Tribunal Disciplinario Formativo para conocer del recurso de revocatoria, dictará sus resoluciones en los ocho días hábiles siguientes. En los casos de apelación la dirección de la Vicerrectoría Vida Estudiantil y Servicios Académicos, dictará sus resoluciones en los ocho días hábiles siguientes, y agotará la vía administrativa. A su vez, podrá establecer recurso de revisión contra la resolución final, en el plazo de los tres días siguientes a la notificación. Además, se podrá plantear recurso de adición y aclaración contra las resoluciones y se deberán interponer en el plazo de 24 horas, posteriores al día de la notificación.</x:v>
      </x:c>
      <x:c r="L32" s="12" t="str">
        <x:v>tec-convivencia-disciplina::article-37::chunk-001</x:v>
      </x:c>
      <x:c r="M32" s="12" t="str">
        <x:v>tec-convivencia-disciplina</x:v>
      </x:c>
    </x:row>
    <x:row r="33" ht="92" customHeight="1">
      <x:c r="A33" s="11" t="str">
        <x:v>q007</x:v>
      </x:c>
      <x:c r="B33" s="11" t="str">
        <x:v>direct</x:v>
      </x:c>
      <x:c r="C33" s="11" t="str">
        <x:v>F2</x:v>
      </x:c>
      <x:c r="D33" s="11" t="n">
        <x:v>2</x:v>
      </x:c>
      <x:c r="E33" s="14" t="n">
        <x:v>0.8988207578659058</x:v>
      </x:c>
      <x:c r="F33" s="11" t="str">
        <x:v>tec-equiparacion-asignaturas::article-25</x:v>
      </x:c>
      <x:c r="G33" s="11" t="str">
        <x:v>No</x:v>
      </x:c>
      <x:c r="H33" s="11" t="str">
        <x:v>No</x:v>
      </x:c>
      <x:c r="I33" s="12" t="str">
        <x:v>Reglamento de Equiparación de Asignaturas del Instituto Tecnológico de Costa Rica, Artículo 25. Plazos para resolver recursos</x:v>
      </x:c>
      <x:c r="J33" s="12" t="str">
        <x:v>https://www.tec.ac.cr/reglamento-equiparacion-asignaturas-instituto-tecnologico-costa-rica</x:v>
      </x:c>
      <x:c r="K33" s="12" t="str">
        <x:v>En cualquiera de sus etapas, la instancia a la que le corresponda resolver el recurso de revocatoria tendrá un plazo de 10 días hábiles, y la instancia que resuelva el recurso de apelación tendrá 15 días hábiles.</x:v>
      </x:c>
      <x:c r="L33" s="12" t="str">
        <x:v>tec-equiparacion-asignaturas::article-25::chunk-001</x:v>
      </x:c>
      <x:c r="M33" s="12" t="str">
        <x:v>tec-equiparacion-asignaturas</x:v>
      </x:c>
    </x:row>
    <x:row r="34" ht="92" customHeight="1">
      <x:c r="A34" s="11" t="str">
        <x:v>q007</x:v>
      </x:c>
      <x:c r="B34" s="11" t="str">
        <x:v>direct</x:v>
      </x:c>
      <x:c r="C34" s="11" t="str">
        <x:v>F3</x:v>
      </x:c>
      <x:c r="D34" s="11" t="n">
        <x:v>3</x:v>
      </x:c>
      <x:c r="E34" s="14" t="n">
        <x:v>0.8914123773574829</x:v>
      </x:c>
      <x:c r="F34" s="11" t="str">
        <x:v>tec-rrea-2025::article-88</x:v>
      </x:c>
      <x:c r="G34" s="11" t="str">
        <x:v>No</x:v>
      </x:c>
      <x:c r="H34" s="11" t="str">
        <x:v>No</x:v>
      </x:c>
      <x:c r="I34" s="12" t="str">
        <x:v>Reglamento del Régimen Enseñanza-Aprendizaje del Instituto Tecnológico de Costa Rica, Artículo 88. De la presentación de recursos de revocatoria y de apelación</x:v>
      </x:c>
      <x:c r="J34" s="12" t="str">
        <x:v>https://www.tec.ac.cr/reglamento-regimen-ensenanza-aprendizaje-instituto-tecnologico-costa-rica</x:v>
      </x:c>
      <x:c r="K34" s="12" t="str">
        <x:v>Toda persona estudiante podrá presentar recursos de revocatoria y de apelación sobre las resoluciones y sanciones que se le apliquen. Los recursos deberán plantearse por escrito y con copia al Tribunal Disciplinario Formativo dentro de los 5 días hábiles siguientes a la fecha de comunicación de la resolución o sanción. La persona que desempeñe el cargo de Dirección o Coordinación de la dependencia o subdependencia a la que pertenece la persona estudiante en el caso de la revocatoria, o el Consejo de la dependencia o subdependencia, en caso de la apelación darán respuesta en los 10 días hábiles siguientes. En estos casos, el Consejo de la dependencia o subdependencia agotará la vía administrativa.</x:v>
      </x:c>
      <x:c r="L34" s="12" t="str">
        <x:v>tec-rrea-2025::article-88::chunk-001</x:v>
      </x:c>
      <x:c r="M34" s="12" t="str">
        <x:v>tec-rrea-2025</x:v>
      </x:c>
    </x:row>
    <x:row r="35" ht="92" customHeight="1">
      <x:c r="A35" s="11" t="str">
        <x:v>q007</x:v>
      </x:c>
      <x:c r="B35" s="11" t="str">
        <x:v>direct</x:v>
      </x:c>
      <x:c r="C35" s="11" t="str">
        <x:v>F4</x:v>
      </x:c>
      <x:c r="D35" s="11" t="n">
        <x:v>4</x:v>
      </x:c>
      <x:c r="E35" s="14" t="n">
        <x:v>0.8835753202438354</x:v>
      </x:c>
      <x:c r="F35" s="11" t="str">
        <x:v>tec-equiparacion-asignaturas::article-24</x:v>
      </x:c>
      <x:c r="G35" s="11" t="str">
        <x:v>No</x:v>
      </x:c>
      <x:c r="H35" s="11" t="str">
        <x:v>No</x:v>
      </x:c>
      <x:c r="I35" s="12" t="str">
        <x:v>Reglamento de Equiparación de Asignaturas del Instituto Tecnológico de Costa Rica, Artículo 24. De los recursos</x:v>
      </x:c>
      <x:c r="J35" s="12" t="str">
        <x:v>https://www.tec.ac.cr/reglamento-equiparacion-asignaturas-instituto-tecnologico-costa-rica</x:v>
      </x:c>
      <x:c r="K35" s="12" t="str">
        <x:v>La persona interesada podrá presentar recurso de revocatoria ante la Comisión o de apelación ante el Consejo en los cinco (5) días hábiles, contados a partir del día hábil siguiente a la fecha en que se ha notificado el acuerdo o la resolución objeto de impugnación. En caso de que la persona recurrente opte por interponer en el mismo acto el recurso de revocatoria y en subsidio el de apelación, el órgano de primera instancia, salvo que acoja totalmente el recurso presentado en su contra, contará con un plazo de dos (2) días hábiles para trasladar la resolución o acuerdo con que resuelve el recurso de revocatoria, junto al expediente que se formó en la atención del caso, a partir del día hábil siguiente al dictado de su resolución al Consejo de Escuela o de Área Académica o de Unidad de Posgrados; según corresponda, órgano que agota la vía administrativa. El recurso deberá indicar las razones por las cuales se recurre, las pretensiones y aportar documentación adicional si fuera necesario.</x:v>
      </x:c>
      <x:c r="L35" s="12" t="str">
        <x:v>tec-equiparacion-asignaturas::article-24::chunk-001</x:v>
      </x:c>
      <x:c r="M35" s="12" t="str">
        <x:v>tec-equiparacion-asignaturas</x:v>
      </x:c>
    </x:row>
    <x:row r="36" ht="92" customHeight="1">
      <x:c r="A36" s="11" t="str">
        <x:v>q007</x:v>
      </x:c>
      <x:c r="B36" s="11" t="str">
        <x:v>direct</x:v>
      </x:c>
      <x:c r="C36" s="11" t="str">
        <x:v>F5</x:v>
      </x:c>
      <x:c r="D36" s="11" t="n">
        <x:v>5</x:v>
      </x:c>
      <x:c r="E36" s="14" t="n">
        <x:v>0.8829375505447388</x:v>
      </x:c>
      <x:c r="F36" s="11" t="str">
        <x:v>tec-rrea-2025::article-70</x:v>
      </x:c>
      <x:c r="G36" s="11" t="str">
        <x:v>No</x:v>
      </x:c>
      <x:c r="H36" s="11" t="str">
        <x:v>No</x:v>
      </x:c>
      <x:c r="I36" s="12" t="str">
        <x:v>Reglamento del Régimen Enseñanza-Aprendizaje del Instituto Tecnológico de Costa Rica, Artículo 70. De la solicitud de revisión de resultados de las evaluaciones</x:v>
      </x:c>
      <x:c r="J36" s="12" t="str">
        <x:v>https://www.tec.ac.cr/reglamento-regimen-ensenanza-aprendizaje-instituto-tecnologico-costa-rica</x:v>
      </x:c>
      <x:c r="K36" s="12" t="str">
        <x:v>La persona estudiante podrá presentar un recurso de revocatoria a su docente por escrito, por medios físicos o digitales, para solicitar la revisión de la calificación de los instrumentos aplicados en actividades de evaluación, dentro de los tres días hábiles posteriores a la notificación de los resultados obtenidos. La persona docente deberá dar su respuesta durante los tres días hábiles siguientes. En caso de respuesta negativa, la persona estudiante podrá apelar la decisión ante la coordinación de la subdependencia o en su defecto ante la Dirección de la dependencia que imparte la asignatura, en un plazo no mayor a tres días hábiles a partir de la fecha en que vence el período de respuesta de su docente. La Dirección o la Coordinación respectiva deberá resolver la apelación dentro de los cinco días hábiles siguientes. El Consejo de la dependencia o subdependencia respectiva actuará como órgano en alzada, la cual resolverá dentro de los diez días hábiles siguientes y agotará la vía administrativa.</x:v>
      </x:c>
      <x:c r="L36" s="12" t="str">
        <x:v>tec-rrea-2025::article-70::chunk-001</x:v>
      </x:c>
      <x:c r="M36" s="12" t="str">
        <x:v>tec-rrea-2025</x:v>
      </x:c>
    </x:row>
    <x:row r="37" ht="92" customHeight="1">
      <x:c r="A37" s="11" t="str">
        <x:v>q008</x:v>
      </x:c>
      <x:c r="B37" s="11" t="str">
        <x:v>direct</x:v>
      </x:c>
      <x:c r="C37" s="11" t="str">
        <x:v>F1</x:v>
      </x:c>
      <x:c r="D37" s="11" t="n">
        <x:v>1</x:v>
      </x:c>
      <x:c r="E37" s="14" t="n">
        <x:v>0.8814214468002319</x:v>
      </x:c>
      <x:c r="F37" s="11" t="str">
        <x:v>tec-admision-grado::article-39</x:v>
      </x:c>
      <x:c r="G37" s="11" t="str">
        <x:v>Sí</x:v>
      </x:c>
      <x:c r="H37" s="11" t="str">
        <x:v>Sí</x:v>
      </x:c>
      <x:c r="I37" s="12" t="str">
        <x:v>Reglamento de Admisión a Carreras de Grado en el Instituto Tecnológico de Costa Rica, Artículo 39. Requisitos para el cambio de carrera</x:v>
      </x:c>
      <x:c r="J37" s="12" t="str">
        <x:v>https://www.tec.ac.cr/reglamento-admision-carreras-grado-instituto-tecnologico-costa-rica</x:v>
      </x:c>
      <x:c r="K37" s="12" t="str">
        <x:v>Podrá optar por el cambio de carrera quien haya cursado y aprobado seis créditos del plan de estudios en el cual está matriculado(a). Se utilizará como criterio de selección el promedio ponderado de calificaciones de todas las materias cursadas en el último periodo.</x:v>
      </x:c>
      <x:c r="L37" s="12" t="str">
        <x:v>tec-admision-grado::article-39::chunk-001</x:v>
      </x:c>
      <x:c r="M37" s="12" t="str">
        <x:v>tec-admision-grado</x:v>
      </x:c>
    </x:row>
    <x:row r="38" ht="92" customHeight="1">
      <x:c r="A38" s="11" t="str">
        <x:v>q008</x:v>
      </x:c>
      <x:c r="B38" s="11" t="str">
        <x:v>direct</x:v>
      </x:c>
      <x:c r="C38" s="11" t="str">
        <x:v>F2</x:v>
      </x:c>
      <x:c r="D38" s="11" t="n">
        <x:v>2</x:v>
      </x:c>
      <x:c r="E38" s="14" t="n">
        <x:v>0.8711268901824951</x:v>
      </x:c>
      <x:c r="F38" s="11" t="str">
        <x:v>tec-admision-grado::article-38</x:v>
      </x:c>
      <x:c r="G38" s="11" t="str">
        <x:v>No</x:v>
      </x:c>
      <x:c r="H38" s="11" t="str">
        <x:v>No</x:v>
      </x:c>
      <x:c r="I38" s="12" t="str">
        <x:v>Reglamento de Admisión a Carreras de Grado en el Instituto Tecnológico de Costa Rica, Artículo 38. Solicitud de cambio de carrera</x:v>
      </x:c>
      <x:c r="J38" s="12" t="str">
        <x:v>https://www.tec.ac.cr/reglamento-admision-carreras-grado-instituto-tecnologico-costa-rica</x:v>
      </x:c>
      <x:c r="K38" s="12" t="str">
        <x:v>La persona estudiante que desee cambiar de carrera deberá solicitarlo por escrito al Departamento de Admisión y Registro, dentro del período señalado para ello en el Calendario Institucional y Académico y deberá acogerse al trámite establecido para tal efecto. Cada carrera admitirá por cambio de carrera hasta un máximo de un 5% de estudiantes de su cupo inicial, con posibilidad de incrementar este porcentaje, siempre que existan cupos disponibles.</x:v>
      </x:c>
      <x:c r="L38" s="12" t="str">
        <x:v>tec-admision-grado::article-38::chunk-001</x:v>
      </x:c>
      <x:c r="M38" s="12" t="str">
        <x:v>tec-admision-grado</x:v>
      </x:c>
    </x:row>
    <x:row r="39" ht="92" customHeight="1">
      <x:c r="A39" s="11" t="str">
        <x:v>q008</x:v>
      </x:c>
      <x:c r="B39" s="11" t="str">
        <x:v>direct</x:v>
      </x:c>
      <x:c r="C39" s="11" t="str">
        <x:v>F3</x:v>
      </x:c>
      <x:c r="D39" s="11" t="n">
        <x:v>3</x:v>
      </x:c>
      <x:c r="E39" s="14" t="n">
        <x:v>0.8667284250259399</x:v>
      </x:c>
      <x:c r="F39" s="11" t="str">
        <x:v>tec-admision-grado::article-40</x:v>
      </x:c>
      <x:c r="G39" s="11" t="str">
        <x:v>No</x:v>
      </x:c>
      <x:c r="H39" s="11" t="str">
        <x:v>No</x:v>
      </x:c>
      <x:c r="I39" s="12" t="str">
        <x:v>Reglamento de Admisión a Carreras de Grado en el Instituto Tecnológico de Costa Rica, Artículo 40. Otros criterios de admisión</x:v>
      </x:c>
      <x:c r="J39" s="12" t="str">
        <x:v>https://www.tec.ac.cr/reglamento-admision-carreras-grado-instituto-tecnologico-costa-rica</x:v>
      </x:c>
      <x:c r="K39" s="12" t="str">
        <x:v>Si la Institución lo considera necesario podrá establecer otros criterios de admisión, tanto generales como particulares para alguna carrera en concreto, que deberán ser aprobados por el Consejo Institucional. El Consejo Institucional podrá aprobar criterios de admisión específicos para una determinada carrera, previo aval del Consejo de Docencia, por solicitud expresa del Consejo de la Escuela o Área Académica que imparta la carrera. En estos casos se estipularán explícitamente los derechos y deberes de sus estudiantes en cuanto al acceso a servicios estudiantiles y derecho a cambio de carrera.</x:v>
      </x:c>
      <x:c r="L39" s="12" t="str">
        <x:v>tec-admision-grado::article-40::chunk-001</x:v>
      </x:c>
      <x:c r="M39" s="12" t="str">
        <x:v>tec-admision-grado</x:v>
      </x:c>
    </x:row>
    <x:row r="40" ht="92" customHeight="1">
      <x:c r="A40" s="11" t="str">
        <x:v>q008</x:v>
      </x:c>
      <x:c r="B40" s="11" t="str">
        <x:v>direct</x:v>
      </x:c>
      <x:c r="C40" s="11" t="str">
        <x:v>F4</x:v>
      </x:c>
      <x:c r="D40" s="11" t="n">
        <x:v>4</x:v>
      </x:c>
      <x:c r="E40" s="14" t="n">
        <x:v>0.8631653189659119</x:v>
      </x:c>
      <x:c r="F40" s="11" t="str">
        <x:v>tec-admision-grado::article-24</x:v>
      </x:c>
      <x:c r="G40" s="11" t="str">
        <x:v>No</x:v>
      </x:c>
      <x:c r="H40" s="11" t="str">
        <x:v>No</x:v>
      </x:c>
      <x:c r="I40" s="12" t="str">
        <x:v>Reglamento de Admisión a Carreras de Grado en el Instituto Tecnológico de Costa Rica, Artículo 24. Criterios de selección para la Admisión Restringida</x:v>
      </x:c>
      <x:c r="J40" s="12" t="str">
        <x:v>https://www.tec.ac.cr/reglamento-admision-carreras-grado-instituto-tecnologico-costa-rica</x:v>
      </x:c>
      <x:c r="K40" s="12" t="str">
        <x:v>Los siguientes son los criterios de selección para la Admisión Restringida: a. La persona solicitante no debe estar ni haber estado antes matriculada en el Instituto Tecnológico de Costa Rica o en alguna otra universidad. b. La persona solicitante no debe haber sido admitida al ITCR en la matrícula regular. c. Que el puntaje de admisión obtenido por la persona solicitante sea igual o superior a la nota de corte institucional, o bien a la nota mínima disminuida y aprobada institucionalmente para las carreras que lo solicitan en la escala 200-800. d. Que el puntaje de admisión obtenida por la persona solicitante no tenga una diferencia mayor de 50 puntos por debajo de la nota de corte en la Admisión Abierta de la carrera o carreras elegidas por la persona solicitante en la escala 200-800. e. Que la persona solicitante proceda de colegio público o de colegios ubicados en instituciones u organizaciones que atiendan población en condición de desventaja social. f. Que la carrera a considerar sea la elegida por la persona solicitante durante el proceso de admisión. g. Que el distrito de residencia de la persona solicitante tenga un índice de desarrollo social igual o inferior a 60, según lo establecido por el MIDEPLAN, o en su defecto, que se le hubiera exonerado del pago del derecho de inscripción para el examen de admisión. h. Condición socioeconómica de la persona solicitante de acuerdo con el estudio efectuado por el Departamento de Becas y Gestión Social del ITCR. Se excluirán las personas solicitantes que no sean sujetas a beca socioeconómica, según las categorías definidas y aprobadas en la CASAP y el Consejo VIESA.</x:v>
      </x:c>
      <x:c r="L40" s="12" t="str">
        <x:v>tec-admision-grado::article-24::chunk-001</x:v>
      </x:c>
      <x:c r="M40" s="12" t="str">
        <x:v>tec-admision-grado</x:v>
      </x:c>
    </x:row>
    <x:row r="41" ht="92" customHeight="1">
      <x:c r="A41" s="11" t="str">
        <x:v>q008</x:v>
      </x:c>
      <x:c r="B41" s="11" t="str">
        <x:v>direct</x:v>
      </x:c>
      <x:c r="C41" s="11" t="str">
        <x:v>F5</x:v>
      </x:c>
      <x:c r="D41" s="11" t="n">
        <x:v>5</x:v>
      </x:c>
      <x:c r="E41" s="14" t="n">
        <x:v>0.8603780269622803</x:v>
      </x:c>
      <x:c r="F41" s="11" t="str">
        <x:v>tec-admision-grado::article-25</x:v>
      </x:c>
      <x:c r="G41" s="11" t="str">
        <x:v>No</x:v>
      </x:c>
      <x:c r="H41" s="11" t="str">
        <x:v>No</x:v>
      </x:c>
      <x:c r="I41" s="12" t="str">
        <x:v>Reglamento de Admisión a Carreras de Grado en el Instituto Tecnológico de Costa Rica, Artículo 25. Criterios de priorización en la asignación de cupos para la Admisión Restringida</x:v>
      </x:c>
      <x:c r="J41" s="12" t="str">
        <x:v>https://www.tec.ac.cr/reglamento-admision-carreras-grado-instituto-tecnologico-costa-rica</x:v>
      </x:c>
      <x:c r="K41" s="12" t="str">
        <x:v>Serán elegibles todas aquellas personas solicitantes que hayan cumplido con los criterios indicados en el artículo anterior. Para el ingreso a carrera y de acuerdo con el estudio socioeconómico aplicado por el Departamento de Becas y Gestión Social, la asignación de los cupos disponibles a las personas solicitantes se ordenará así: según carrera solicitada, a. condición socioeconómica, de menor a mayor categoría, y tendrán prioridad para su ingreso al Instituto Tecnológico de Costa Rica en este mismo orden, b. cada categoría de condición socioeconómica se dividirá en grupos según sexo y nota de admisión de mayor a menor, c. La asignación de cupo por carrera se hará tomando como criterio principal la condición socioeconómica, luego el criterio de paridad de género y la nota de admisión. Si se agota la condición de paridad privará la condición socioeconómica.</x:v>
      </x:c>
      <x:c r="L41" s="12" t="str">
        <x:v>tec-admision-grado::article-25::chunk-001</x:v>
      </x:c>
      <x:c r="M41" s="12" t="str">
        <x:v>tec-admision-grado</x:v>
      </x:c>
    </x:row>
    <x:row r="42" ht="92" customHeight="1">
      <x:c r="A42" s="11" t="str">
        <x:v>q009</x:v>
      </x:c>
      <x:c r="B42" s="11" t="str">
        <x:v>direct</x:v>
      </x:c>
      <x:c r="C42" s="11" t="str">
        <x:v>F1</x:v>
      </x:c>
      <x:c r="D42" s="11" t="n">
        <x:v>1</x:v>
      </x:c>
      <x:c r="E42" s="14" t="n">
        <x:v>0.8878216743469238</x:v>
      </x:c>
      <x:c r="F42" s="11" t="str">
        <x:v>tec-prueba-aptitud::article-3</x:v>
      </x:c>
      <x:c r="G42" s="11" t="str">
        <x:v>Sí</x:v>
      </x:c>
      <x:c r="H42" s="11" t="str">
        <x:v>Sí</x:v>
      </x:c>
      <x:c r="I42" s="12" t="str">
        <x:v>Reglamento de la prueba de aptitud académica del Instituto Tecnológico de Costa Rica y sus reformas, Artículo 3</x:v>
      </x:c>
      <x:c r="J42" s="12" t="str">
        <x:v>https://www.tec.ac.cr/reglamento-prueba-aptitud-academica-instituto-tecnologico-costa-rica-sus-reformas-asi-reformado</x:v>
      </x:c>
      <x:c r="K42" s="12" t="str">
        <x:v>La prueba consiste en un test psicoeducativo cuyo propósito es contribuir a predecir el rendimiento académico de las personas que solicitan ingreso al ITCR. Constituye uno de los criterios de admisión al ITCR.</x:v>
      </x:c>
      <x:c r="L42" s="12" t="str">
        <x:v>tec-prueba-aptitud::article-3::chunk-001</x:v>
      </x:c>
      <x:c r="M42" s="12" t="str">
        <x:v>tec-prueba-aptitud</x:v>
      </x:c>
    </x:row>
    <x:row r="43" ht="92" customHeight="1">
      <x:c r="A43" s="11" t="str">
        <x:v>q009</x:v>
      </x:c>
      <x:c r="B43" s="11" t="str">
        <x:v>direct</x:v>
      </x:c>
      <x:c r="C43" s="11" t="str">
        <x:v>F2</x:v>
      </x:c>
      <x:c r="D43" s="11" t="n">
        <x:v>2</x:v>
      </x:c>
      <x:c r="E43" s="14" t="n">
        <x:v>0.8836597204208374</x:v>
      </x:c>
      <x:c r="F43" s="11" t="str">
        <x:v>tec-prueba-aptitud::article-2</x:v>
      </x:c>
      <x:c r="G43" s="11" t="str">
        <x:v>No</x:v>
      </x:c>
      <x:c r="H43" s="11" t="str">
        <x:v>No</x:v>
      </x:c>
      <x:c r="I43" s="12" t="str">
        <x:v>Reglamento de la prueba de aptitud académica del Instituto Tecnológico de Costa Rica y sus reformas, Artículo 2</x:v>
      </x:c>
      <x:c r="J43" s="12" t="str">
        <x:v>https://www.tec.ac.cr/reglamento-prueba-aptitud-academica-instituto-tecnologico-costa-rica-sus-reformas-asi-reformado</x:v>
      </x:c>
      <x:c r="K43" s="12" t="str">
        <x:v>La Prueba de Aptitud Académica (en adelante prueba) es parte del Programa de Selección de Estudiantes de la Vicerrectoría de Vida Estudiantil y Servicios Académicos (VIESA), según lo establecido en el inciso b), Artículo 32, del Estatuto Orgánico.</x:v>
      </x:c>
      <x:c r="L43" s="12" t="str">
        <x:v>tec-prueba-aptitud::article-2::chunk-001</x:v>
      </x:c>
      <x:c r="M43" s="12" t="str">
        <x:v>tec-prueba-aptitud</x:v>
      </x:c>
    </x:row>
    <x:row r="44" ht="92" customHeight="1">
      <x:c r="A44" s="11" t="str">
        <x:v>q009</x:v>
      </x:c>
      <x:c r="B44" s="11" t="str">
        <x:v>direct</x:v>
      </x:c>
      <x:c r="C44" s="11" t="str">
        <x:v>F3</x:v>
      </x:c>
      <x:c r="D44" s="11" t="n">
        <x:v>3</x:v>
      </x:c>
      <x:c r="E44" s="14" t="n">
        <x:v>0.8647252321243286</x:v>
      </x:c>
      <x:c r="F44" s="11" t="str">
        <x:v>tec-prueba-aptitud::article-1</x:v>
      </x:c>
      <x:c r="G44" s="11" t="str">
        <x:v>No</x:v>
      </x:c>
      <x:c r="H44" s="11" t="str">
        <x:v>No</x:v>
      </x:c>
      <x:c r="I44" s="12" t="str">
        <x:v>Reglamento de la prueba de aptitud académica del Instituto Tecnológico de Costa Rica y sus reformas, Artículo 1</x:v>
      </x:c>
      <x:c r="J44" s="12" t="str">
        <x:v>https://www.tec.ac.cr/reglamento-prueba-aptitud-academica-instituto-tecnologico-costa-rica-sus-reformas-asi-reformado</x:v>
      </x:c>
      <x:c r="K44" s="12" t="str">
        <x:v>Se establece el presente Reglamento con el fin de regular la conformación y funciones del Comité de Examen de Admisión (en adelante Comité) del Instituto Tecnológico de Costa Rica (ITCR), así como todo lo relacionado con la administración de la Prueba de Aptitud Académica (Examen de Admisión).</x:v>
      </x:c>
      <x:c r="L44" s="12" t="str">
        <x:v>tec-prueba-aptitud::article-1::chunk-001</x:v>
      </x:c>
      <x:c r="M44" s="12" t="str">
        <x:v>tec-prueba-aptitud</x:v>
      </x:c>
    </x:row>
    <x:row r="45" ht="92" customHeight="1">
      <x:c r="A45" s="11" t="str">
        <x:v>q009</x:v>
      </x:c>
      <x:c r="B45" s="11" t="str">
        <x:v>direct</x:v>
      </x:c>
      <x:c r="C45" s="11" t="str">
        <x:v>F4</x:v>
      </x:c>
      <x:c r="D45" s="11" t="n">
        <x:v>4</x:v>
      </x:c>
      <x:c r="E45" s="14" t="n">
        <x:v>0.8619362115859985</x:v>
      </x:c>
      <x:c r="F45" s="11" t="str">
        <x:v>tec-prueba-aptitud::article-23</x:v>
      </x:c>
      <x:c r="G45" s="11" t="str">
        <x:v>No</x:v>
      </x:c>
      <x:c r="H45" s="11" t="str">
        <x:v>No</x:v>
      </x:c>
      <x:c r="I45" s="12" t="str">
        <x:v>Reglamento de la prueba de aptitud académica del Instituto Tecnológico de Costa Rica y sus reformas, Artículo 23</x:v>
      </x:c>
      <x:c r="J45" s="12" t="str">
        <x:v>https://www.tec.ac.cr/reglamento-prueba-aptitud-academica-instituto-tecnologico-costa-rica-sus-reformas-asi-reformado</x:v>
      </x:c>
      <x:c r="K45" s="12" t="str">
        <x:v>Se denomina aplicador(a) a la persona responsable de atender el proceso de ejecución de la prueba a un grupo de solicitantes. Debe ser funcionario(a) del ITCR y su participación está sujeta a aprobación por parte del Comité. Cuando así lo considere conveniente para asegurar la efectiva aplicación de la prueba, el Comité podrá motivadamente autorizar la participación de personas estudiantes regulares y activos del Instituto en condición de aplicadoras(es). Así reformado por acuerdo del Consejo Institucional, Sesión Ordinaria Número 3223, Artículo 8 del 23 de junio del 2021. Publicado en fecha 23 de junio del 2021 mediante la Gaceta Número 790-2021 del 23 de junio del 2021.</x:v>
      </x:c>
      <x:c r="L45" s="12" t="str">
        <x:v>tec-prueba-aptitud::article-23::chunk-001</x:v>
      </x:c>
      <x:c r="M45" s="12" t="str">
        <x:v>tec-prueba-aptitud</x:v>
      </x:c>
    </x:row>
    <x:row r="46" ht="92" customHeight="1">
      <x:c r="A46" s="11" t="str">
        <x:v>q009</x:v>
      </x:c>
      <x:c r="B46" s="11" t="str">
        <x:v>direct</x:v>
      </x:c>
      <x:c r="C46" s="11" t="str">
        <x:v>F5</x:v>
      </x:c>
      <x:c r="D46" s="11" t="n">
        <x:v>5</x:v>
      </x:c>
      <x:c r="E46" s="14" t="n">
        <x:v>0.8619258403778076</x:v>
      </x:c>
      <x:c r="F46" s="11" t="str">
        <x:v>tec-prueba-aptitud::article-4</x:v>
      </x:c>
      <x:c r="G46" s="11" t="str">
        <x:v>No</x:v>
      </x:c>
      <x:c r="H46" s="11" t="str">
        <x:v>No</x:v>
      </x:c>
      <x:c r="I46" s="12" t="str">
        <x:v>Reglamento de la prueba de aptitud académica del Instituto Tecnológico de Costa Rica y sus reformas, Artículo 4</x:v>
      </x:c>
      <x:c r="J46" s="12" t="str">
        <x:v>https://www.tec.ac.cr/reglamento-prueba-aptitud-academica-instituto-tecnologico-costa-rica-sus-reformas-asi-reformado</x:v>
      </x:c>
      <x:c r="K46" s="12" t="str">
        <x:v>La prueba es de carácter confidencial por lo que debe tratarse bajo estrictas normas de seguridad por parte de los y (las) participantes en los procesos de estructuración, mecanografía, tiraje, aplicación, calificación, validación, y destrucción de la misma.</x:v>
      </x:c>
      <x:c r="L46" s="12" t="str">
        <x:v>tec-prueba-aptitud::article-4::chunk-001</x:v>
      </x:c>
      <x:c r="M46" s="12" t="str">
        <x:v>tec-prueba-aptitud</x:v>
      </x:c>
    </x:row>
    <x:row r="47" ht="92" customHeight="1">
      <x:c r="A47" s="11" t="str">
        <x:v>q010</x:v>
      </x:c>
      <x:c r="B47" s="11" t="str">
        <x:v>direct</x:v>
      </x:c>
      <x:c r="C47" s="11" t="str">
        <x:v>F1</x:v>
      </x:c>
      <x:c r="D47" s="11" t="n">
        <x:v>1</x:v>
      </x:c>
      <x:c r="E47" s="14" t="n">
        <x:v>0.9178468585014343</x:v>
      </x:c>
      <x:c r="F47" s="11" t="str">
        <x:v>tec-graduacion::article-7-ter</x:v>
      </x:c>
      <x:c r="G47" s="11" t="str">
        <x:v>Sí</x:v>
      </x:c>
      <x:c r="H47" s="11" t="str">
        <x:v>Sí</x:v>
      </x:c>
      <x:c r="I47" s="12" t="str">
        <x:v>Reglamento de Normas Generales de Graduación en el Tecnológico de Costa Rica, Artículo 7 ter: Promedio mínimo para tener graduación de honor en programas de grado</x:v>
      </x:c>
      <x:c r="J47" s="12" t="str">
        <x:v>https://www.tec.ac.cr/reglamento-normas-generales-graduacion-tecnologico-costa-rica</x:v>
      </x:c>
      <x:c r="K47" s="12" t="str">
        <x:v>Para obtener esta distinción en los programas de grado, la persona estudiante deberá tener un promedio final ponderado de calificaciones, con los créditos como factor de ponderado final, igual o superior a 90, incluidas las asignaturas aprobadas por suficiencia.</x:v>
      </x:c>
      <x:c r="L47" s="12" t="str">
        <x:v>tec-graduacion::article-7-ter::chunk-001</x:v>
      </x:c>
      <x:c r="M47" s="12" t="str">
        <x:v>tec-graduacion</x:v>
      </x:c>
    </x:row>
    <x:row r="48" ht="92" customHeight="1">
      <x:c r="A48" s="11" t="str">
        <x:v>q010</x:v>
      </x:c>
      <x:c r="B48" s="11" t="str">
        <x:v>direct</x:v>
      </x:c>
      <x:c r="C48" s="11" t="str">
        <x:v>F2</x:v>
      </x:c>
      <x:c r="D48" s="11" t="n">
        <x:v>2</x:v>
      </x:c>
      <x:c r="E48" s="14" t="n">
        <x:v>0.914789617061615</x:v>
      </x:c>
      <x:c r="F48" s="11" t="str">
        <x:v>tec-graduacion::article-7-quinquies</x:v>
      </x:c>
      <x:c r="G48" s="11" t="str">
        <x:v>No</x:v>
      </x:c>
      <x:c r="H48" s="11" t="str">
        <x:v>No</x:v>
      </x:c>
      <x:c r="I48" s="12" t="str">
        <x:v>Reglamento de Normas Generales de Graduación en el Tecnológico de Costa Rica, Artículo 7 quinquies: Promedio mínimo para tener graduación de honor en programas de doctorado</x:v>
      </x:c>
      <x:c r="J48" s="12" t="str">
        <x:v>https://www.tec.ac.cr/reglamento-normas-generales-graduacion-tecnologico-costa-rica</x:v>
      </x:c>
      <x:c r="K48" s="12" t="str">
        <x:v>Como requisito para obtener graduación de honor en los programas de posgrado, con grado de Doctorado, deberá cumplir con una nota mínima de 95, según los criterios establecidos por el programa de posgrado al que pertenece la persona estudiante y estos criterios deberán ser avalados por el Consejo de Posgrado.</x:v>
      </x:c>
      <x:c r="L48" s="12" t="str">
        <x:v>tec-graduacion::article-7-quinquies::chunk-001</x:v>
      </x:c>
      <x:c r="M48" s="12" t="str">
        <x:v>tec-graduacion</x:v>
      </x:c>
    </x:row>
    <x:row r="49" ht="92" customHeight="1">
      <x:c r="A49" s="11" t="str">
        <x:v>q010</x:v>
      </x:c>
      <x:c r="B49" s="11" t="str">
        <x:v>direct</x:v>
      </x:c>
      <x:c r="C49" s="11" t="str">
        <x:v>F3</x:v>
      </x:c>
      <x:c r="D49" s="11" t="n">
        <x:v>3</x:v>
      </x:c>
      <x:c r="E49" s="14" t="n">
        <x:v>0.90767902135849</x:v>
      </x:c>
      <x:c r="F49" s="11" t="str">
        <x:v>tec-graduacion::article-7-quater</x:v>
      </x:c>
      <x:c r="G49" s="11" t="str">
        <x:v>No</x:v>
      </x:c>
      <x:c r="H49" s="11" t="str">
        <x:v>No</x:v>
      </x:c>
      <x:c r="I49" s="12" t="str">
        <x:v>Reglamento de Normas Generales de Graduación en el Tecnológico de Costa Rica, Artículo 7 quater: Promedio mínimo para tener graduación de honor en programas de maestría</x:v>
      </x:c>
      <x:c r="J49" s="12" t="str">
        <x:v>https://www.tec.ac.cr/reglamento-normas-generales-graduacion-tecnologico-costa-rica</x:v>
      </x:c>
      <x:c r="K49" s="12" t="str">
        <x:v>Para obtener esta distinción en los programas de posgrado, con grado académico de Maestría, la persona estudiante deberá tener una calificación en cada una de las asignaturas del programa igual o superior a 90, incluidas las asignaturas aprobadas por suficiencia y promedio final ponderado de calificaciones, con los créditos como factor de ponderado final, igual o superior a 95.</x:v>
      </x:c>
      <x:c r="L49" s="12" t="str">
        <x:v>tec-graduacion::article-7-quater::chunk-001</x:v>
      </x:c>
      <x:c r="M49" s="12" t="str">
        <x:v>tec-graduacion</x:v>
      </x:c>
    </x:row>
    <x:row r="50" ht="92" customHeight="1">
      <x:c r="A50" s="11" t="str">
        <x:v>q010</x:v>
      </x:c>
      <x:c r="B50" s="11" t="str">
        <x:v>direct</x:v>
      </x:c>
      <x:c r="C50" s="11" t="str">
        <x:v>F4</x:v>
      </x:c>
      <x:c r="D50" s="11" t="n">
        <x:v>4</x:v>
      </x:c>
      <x:c r="E50" s="14" t="n">
        <x:v>0.8793096542358398</x:v>
      </x:c>
      <x:c r="F50" s="11" t="str">
        <x:v>tec-graduacion::article-7-bis</x:v>
      </x:c>
      <x:c r="G50" s="11" t="str">
        <x:v>No</x:v>
      </x:c>
      <x:c r="H50" s="11" t="str">
        <x:v>No</x:v>
      </x:c>
      <x:c r="I50" s="12" t="str">
        <x:v>Reglamento de Normas Generales de Graduación en el Tecnológico de Costa Rica, Artículo 7 bis: Requisitos generales para tener graduación de honor</x:v>
      </x:c>
      <x:c r="J50" s="12" t="str">
        <x:v>https://www.tec.ac.cr/reglamento-normas-generales-graduacion-tecnologico-costa-rica</x:v>
      </x:c>
      <x:c r="K50" s="12" t="str">
        <x:v>Tendrá graduación de honor aquella persona estudiante que se haya distinguido en forma permanente en su actividad académica. El reconocimiento de la condición de graduación de honor se hará por medio de una mención honorífica que le será entregada en el Acto de Graduación oficial del Instituto. Para obtener esta distinción, la persona deberá cumplir con lo siguiente: a. No haber reprobado ninguna asignatura de su plan de estudios. b. No haber recibido sanciones disciplinarias, a lo largo de toda su permanencia en la Institución.</x:v>
      </x:c>
      <x:c r="L50" s="12" t="str">
        <x:v>tec-graduacion::article-7-bis::chunk-001</x:v>
      </x:c>
      <x:c r="M50" s="12" t="str">
        <x:v>tec-graduacion</x:v>
      </x:c>
    </x:row>
    <x:row r="51" ht="92" customHeight="1">
      <x:c r="A51" s="11" t="str">
        <x:v>q010</x:v>
      </x:c>
      <x:c r="B51" s="11" t="str">
        <x:v>direct</x:v>
      </x:c>
      <x:c r="C51" s="11" t="str">
        <x:v>F5</x:v>
      </x:c>
      <x:c r="D51" s="11" t="n">
        <x:v>5</x:v>
      </x:c>
      <x:c r="E51" s="14" t="n">
        <x:v>0.871887743473053</x:v>
      </x:c>
      <x:c r="F51" s="11" t="str">
        <x:v>tec-graduacion::article-7-sexies</x:v>
      </x:c>
      <x:c r="G51" s="11" t="str">
        <x:v>No</x:v>
      </x:c>
      <x:c r="H51" s="11" t="str">
        <x:v>No</x:v>
      </x:c>
      <x:c r="I51" s="12" t="str">
        <x:v>Reglamento de Normas Generales de Graduación en el Tecnológico de Costa Rica, Artículo 7 sexies: Menciones de honor para estudiantes de posgrado</x:v>
      </x:c>
      <x:c r="J51" s="12" t="str">
        <x:v>https://www.tec.ac.cr/reglamento-normas-generales-graduacion-tecnologico-costa-rica</x:v>
      </x:c>
      <x:c r="K51" s="12" t="str">
        <x:v>Cada programa de posgrado podrá definir en su normativa específica menciones de honor con las que podrán ser reconocidos los Trabajos Finales de Graduación de alta calidad, a criterio del tribunal examinador.</x:v>
      </x:c>
      <x:c r="L51" s="12" t="str">
        <x:v>tec-graduacion::article-7-sexies::chunk-001</x:v>
      </x:c>
      <x:c r="M51" s="12" t="str">
        <x:v>tec-graduacion</x:v>
      </x:c>
    </x:row>
    <x:row r="52" ht="92" customHeight="1">
      <x:c r="A52" s="11" t="str">
        <x:v>q011</x:v>
      </x:c>
      <x:c r="B52" s="11" t="str">
        <x:v>direct</x:v>
      </x:c>
      <x:c r="C52" s="11" t="str">
        <x:v>F1</x:v>
      </x:c>
      <x:c r="D52" s="11" t="n">
        <x:v>1</x:v>
      </x:c>
      <x:c r="E52" s="14" t="n">
        <x:v>0.8991200923919678</x:v>
      </x:c>
      <x:c r="F52" s="11" t="str">
        <x:v>tec-tfg-grado::article-7</x:v>
      </x:c>
      <x:c r="G52" s="11" t="str">
        <x:v>Sí</x:v>
      </x:c>
      <x:c r="H52" s="11" t="str">
        <x:v>Sí</x:v>
      </x:c>
      <x:c r="I52" s="12" t="str">
        <x:v>Reforma Integral al Reglamento de Trabajos Finales de Graduación para programas de grado del ITCR, Artículo 7</x:v>
      </x:c>
      <x:c r="J52" s="12" t="str">
        <x:v>https://www.tec.ac.cr/reforma-integral-reglamento-trabajos-finales-graduacion-programas-grado-itcr</x:v>
      </x:c>
      <x:c r="K52" s="12" t="str">
        <x:v>El Trabajo Final de Graduación se regirá por un programa que contemple lo siguiente: 1. Los requisitos y correquisitos correspondientes para realizar su matrícula. 2. Un valor mínimo de siete créditos y un máximo de doce créditos. 3. La asignación de un profesor tutor, quien se encargará de la orientación y el seguimiento a los estudiantes. En el caso de proyectos interdisciplinarios se asignará un profesor tutor por carrera. La coordinación del equipo de trabajo estará a cargo del profesor tutor de la carrera proponente del trabajo interdisciplinario, o bien, puede ser en común acuerdo entre las carreras que determinen cuál profesor tutor coordinará el equipo de trabajo. 4. Un Informe del Trabajo Final de Graduación, que deberá ser elaborado por el estudiante y entregado en formato digital al profesor tutor. En el caso de proyectos interdisciplinarios, el grupo de estudiantes entregará un único informe al profesor coordinador del proyecto interdisciplinario. 5. Una evaluación final correspondiente al nivel de ejecución tanto académica, como logística de dicho trabajo. En otros aspectos no considerados, el Trabajo Final de Graduación se regirá por las condiciones y características estipuladas en el Reglamento del Régimen de Enseñanza-Aprendizaje.</x:v>
      </x:c>
      <x:c r="L52" s="12" t="str">
        <x:v>tec-tfg-grado::article-7::chunk-001</x:v>
      </x:c>
      <x:c r="M52" s="12" t="str">
        <x:v>tec-tfg-grado</x:v>
      </x:c>
    </x:row>
    <x:row r="53" ht="92" customHeight="1">
      <x:c r="A53" s="11" t="str">
        <x:v>q011</x:v>
      </x:c>
      <x:c r="B53" s="11" t="str">
        <x:v>direct</x:v>
      </x:c>
      <x:c r="C53" s="11" t="str">
        <x:v>F2</x:v>
      </x:c>
      <x:c r="D53" s="11" t="n">
        <x:v>2</x:v>
      </x:c>
      <x:c r="E53" s="14" t="n">
        <x:v>0.8838990926742554</x:v>
      </x:c>
      <x:c r="F53" s="11" t="str">
        <x:v>tec-tfg-grado::article-13</x:v>
      </x:c>
      <x:c r="G53" s="11" t="str">
        <x:v>No</x:v>
      </x:c>
      <x:c r="H53" s="11" t="str">
        <x:v>No</x:v>
      </x:c>
      <x:c r="I53" s="12" t="str">
        <x:v>Reforma Integral al Reglamento de Trabajos Finales de Graduación para programas de grado del ITCR, Artículo 13. De las funciones y responsabilidades</x:v>
      </x:c>
      <x:c r="J53" s="12" t="str">
        <x:v>https://www.tec.ac.cr/reforma-integral-reglamento-trabajos-finales-graduacion-programas-grado-itcr</x:v>
      </x:c>
      <x:c r="K53" s="12" t="str">
        <x:v>el Coordinador de Área Académica el nombramiento de los profesores tutores. 4. Orientar al estudiante en la búsqueda de fuentes de información y consultores, cuando sea necesario. 5. Realizar la programación de las actividades relacionadas con el Trabajo Final de Graduación y velar por su cumplimiento. 6. Firmar el acta final, en su calidad de coordinador del curso Trabajo Final de Graduación. 7. Mantener una base de datos actualizada con la información de las empresas o instituciones participantes en el Trabajo Final de Graduación. 8. Disponer de un listado actualizado de los estudiantes que han presentado su Trabajo Final de Graduación. 9. Generar opciones de vinculación con empresas o instituciones para desarrollar Trabajos Finales de Graduación. 10. Velar, en lo que le corresponda, por la confidencialidad de los Trabajos Finales de Graduación, en los casos que lo ameriten. 11.Entregar a la biblioteca, cuando corresponda, una copia en formato digital de cada Trabajo Final de Graduación. 12. Aprobar el perfil del anteproyecto del Trabajo Final de Graduación, según lo establecido en el Artículo 11. 13. Velar por el cumplimiento de la normativa vigente correspondiente al Trabajo Final de Graduación. 14. Informar a las empresas o instituciones sobre la reglamentación y las políticas de la escuela o área académica en relación con el Trabajo Final de Graduación. 15. Procurar que la empresa o institución brinde las condiciones necesarias para que el estudiante pueda realizar su Trabajo Final de Graduación, en caso de no darse éstas, deberá tomar las medidas que se consideren pertinentes. 16. Elaborar y presentar al Consejo de Escuela o de Área Académica la propuesta de Guía de Presentación del Informe del Trabajo Final de Graduación, así como los mecanismos de evaluación propuestos por el coordinador de TFG. 17. Elaborar y presentar al Consejo de Escuela o Área Académica la propuesta de Reglamentación Interna del Trabajo Final de Graduación. 18. Nombra</x:v>
      </x:c>
      <x:c r="L53" s="12" t="str">
        <x:v>tec-tfg-grado::article-13::chunk-002</x:v>
      </x:c>
      <x:c r="M53" s="12" t="str">
        <x:v>tec-tfg-grado</x:v>
      </x:c>
    </x:row>
    <x:row r="54" ht="92" customHeight="1">
      <x:c r="A54" s="11" t="str">
        <x:v>q011</x:v>
      </x:c>
      <x:c r="B54" s="11" t="str">
        <x:v>direct</x:v>
      </x:c>
      <x:c r="C54" s="11" t="str">
        <x:v>F3</x:v>
      </x:c>
      <x:c r="D54" s="11" t="n">
        <x:v>3</x:v>
      </x:c>
      <x:c r="E54" s="14" t="n">
        <x:v>0.8836838603019714</x:v>
      </x:c>
      <x:c r="F54" s="11" t="str">
        <x:v>tec-tfg-grado::article-21</x:v>
      </x:c>
      <x:c r="G54" s="11" t="str">
        <x:v>No</x:v>
      </x:c>
      <x:c r="H54" s="11" t="str">
        <x:v>No</x:v>
      </x:c>
      <x:c r="I54" s="12" t="str">
        <x:v>Reforma Integral al Reglamento de Trabajos Finales de Graduación para programas de grado del ITCR, Artículo 21</x:v>
      </x:c>
      <x:c r="J54" s="12" t="str">
        <x:v>https://www.tec.ac.cr/reforma-integral-reglamento-trabajos-finales-graduacion-programas-grado-itcr</x:v>
      </x:c>
      <x:c r="K54" s="12" t="str">
        <x:v>En el caso de que el Trabajo Final de Graduación se encuentre vinculado con alguna empresa o institución, la escuela o área académica respectiva debe procurar que dicha empresa o institución brinde una compensación para el estudiante, que al menos cubra los costos en que éste incurre durante la realización de su Trabajo. Si dicho Trabajo se realiza en una institución de bienestar social, sin fines de lucro u otro tipo de organización que demuestre que no cuente con los recursos o presupuesto, se podría dispensar totalmente dicho pago. Para lo anterior, se requiere el consentimiento expreso por parte del estudiante. Para el caso de los proyectos interdisciplinarios, la compensación deberá ser equitativa entre los estudiantes participantes. En caso de incurrirse en gastos relacionados con la realización del proyecto (análisis de laboratorio, encuestas, papelería, impresiones, software, entre otros) la empresa se hará cargo de estos gastos.</x:v>
      </x:c>
      <x:c r="L54" s="12" t="str">
        <x:v>tec-tfg-grado::article-21::chunk-001</x:v>
      </x:c>
      <x:c r="M54" s="12" t="str">
        <x:v>tec-tfg-grado</x:v>
      </x:c>
    </x:row>
    <x:row r="55" ht="92" customHeight="1">
      <x:c r="A55" s="11" t="str">
        <x:v>q011</x:v>
      </x:c>
      <x:c r="B55" s="11" t="str">
        <x:v>direct</x:v>
      </x:c>
      <x:c r="C55" s="11" t="str">
        <x:v>F4</x:v>
      </x:c>
      <x:c r="D55" s="11" t="n">
        <x:v>4</x:v>
      </x:c>
      <x:c r="E55" s="14" t="n">
        <x:v>0.878432035446167</x:v>
      </x:c>
      <x:c r="F55" s="11" t="str">
        <x:v>tec-tfg-grado::article-13</x:v>
      </x:c>
      <x:c r="G55" s="11" t="str">
        <x:v>No</x:v>
      </x:c>
      <x:c r="H55" s="11" t="str">
        <x:v>No</x:v>
      </x:c>
      <x:c r="I55" s="12" t="str">
        <x:v>Reforma Integral al Reglamento de Trabajos Finales de Graduación para programas de grado del ITCR, Artículo 13. De las funciones y responsabilidades</x:v>
      </x:c>
      <x:c r="J55" s="12" t="str">
        <x:v>https://www.tec.ac.cr/reforma-integral-reglamento-trabajos-finales-graduacion-programas-grado-itcr</x:v>
      </x:c>
      <x:c r="K55" s="12" t="str">
        <x:v>según el sistema de evaluación definido en cada escuela o área académica. 8. Firmar la bitácora que lleva el estudiante en cada visita que realice a la empresa o institución. 9. Velar por la calidad técnica de la presentación, redacción y ortografía del Informe Final escrito y en formato digital, según la normativa correspondiente de la escuela o área académica. 10. Procurar que la empresa o institución brinde las condiciones necesarias para que el estudiante pueda realizar su Trabajo Final de Graduación. f. Del Consultor: 1. Brindar asesoría a los estudiantes del Trabajo Final de Graduación cuando las características de su Trabajo lo requieran, según el mecanismo definido por cada escuela o área académica. g. Del Asesor en la empresa: 1. Brindar al estudiante el apoyo necesario durante el proceso del Trabajo Final de Graduación. 2. Dar a conocer al estudiante los Reglamentos y Normas que rigen en la empresa o institución. 3. Discutir el Plan de Trabajo, conjuntamente con el profesor tutor y el estudiante. En el caso de proyectos interdisciplinarios la discusión se llevará a cabo con el equipo de trabajo. 4. Evaluar el desempeño y comportamiento del estudiante o estudiantes, según corresponda, durante el proceso del Trabajo Final de Graduación. 5. Mantener una comunicación efectiva con el profesor tutor o coordinador para el caso de proyectos interdisciplinarios durante el desarrollo del Trabajo Final de Graduación. 6. Participar, en la medida de sus posibilidades, en la exposición o defensa pública del Informe del Trabajo Final de Graduación, por parte del estudiante asignado a su empresa. h. Del Tribunal Evaluador: El Tribunal Evaluador estará formado por al menos dos profesores de la escuela o área académica o en su lugar por expertos en el área, los cuales deben estar presentes al momento de la exposición o defensa del Trabajo Final de Graduación. Los miembros del tribunal deberán tener como mínimo el grado académico que están evaluando. Para el caso de proyectos interdisciplinarios deberá existir al menos un profesor o experto de cada una de las carrera</x:v>
      </x:c>
      <x:c r="L55" s="12" t="str">
        <x:v>tec-tfg-grado::article-13::chunk-005</x:v>
      </x:c>
      <x:c r="M55" s="12" t="str">
        <x:v>tec-tfg-grado</x:v>
      </x:c>
    </x:row>
    <x:row r="56" ht="92" customHeight="1">
      <x:c r="A56" s="11" t="str">
        <x:v>q011</x:v>
      </x:c>
      <x:c r="B56" s="11" t="str">
        <x:v>direct</x:v>
      </x:c>
      <x:c r="C56" s="11" t="str">
        <x:v>F5</x:v>
      </x:c>
      <x:c r="D56" s="11" t="n">
        <x:v>5</x:v>
      </x:c>
      <x:c r="E56" s="14" t="n">
        <x:v>0.8784037828445435</x:v>
      </x:c>
      <x:c r="F56" s="11" t="str">
        <x:v>tec-tfg-grado::article-11</x:v>
      </x:c>
      <x:c r="G56" s="11" t="str">
        <x:v>No</x:v>
      </x:c>
      <x:c r="H56" s="11" t="str">
        <x:v>No</x:v>
      </x:c>
      <x:c r="I56" s="12" t="str">
        <x:v>Reforma Integral al Reglamento de Trabajos Finales de Graduación para programas de grado del ITCR, Artículo 11. Modalidades para el Trabajo Final de Graduación</x:v>
      </x:c>
      <x:c r="J56" s="12" t="str">
        <x:v>https://www.tec.ac.cr/reforma-integral-reglamento-trabajos-finales-graduacion-programas-grado-itcr</x:v>
      </x:c>
      <x:c r="K56" s="12" t="str">
        <x:v>El Trabajo Final de Graduación, ya sea individual, grupal de una misma disciplina o interdisciplinario, tendrá las siguientes modalidades: 1. Proyecto de Graduación 2. Práctica Profesional 3. Tesis de Graduación 4. - Seminario de Graduación</x:v>
      </x:c>
      <x:c r="L56" s="12" t="str">
        <x:v>tec-tfg-grado::article-11::chunk-001</x:v>
      </x:c>
      <x:c r="M56" s="12" t="str">
        <x:v>tec-tfg-grado</x:v>
      </x:c>
    </x:row>
    <x:row r="57" ht="92" customHeight="1">
      <x:c r="A57" s="11" t="str">
        <x:v>q012</x:v>
      </x:c>
      <x:c r="B57" s="11" t="str">
        <x:v>direct</x:v>
      </x:c>
      <x:c r="C57" s="11" t="str">
        <x:v>F1</x:v>
      </x:c>
      <x:c r="D57" s="11" t="n">
        <x:v>1</x:v>
      </x:c>
      <x:c r="E57" s="14" t="n">
        <x:v>0.8825829029083252</x:v>
      </x:c>
      <x:c r="F57" s="11" t="str">
        <x:v>tec-reconocimiento-grados-titulos::article-6</x:v>
      </x:c>
      <x:c r="G57" s="11" t="str">
        <x:v>No</x:v>
      </x:c>
      <x:c r="H57" s="11" t="str">
        <x:v>No</x:v>
      </x:c>
      <x:c r="I57" s="12" t="str">
        <x:v>Reglamento para el Reconocimiento y Equiparación de Grados y Títulos Tecnológico de Costa Rica, Artículo 6</x:v>
      </x:c>
      <x:c r="J57" s="12" t="str">
        <x:v>https://www.tec.ac.cr/reglamento-reconocimiento-equiparacion-grados-titulos-tecnologico-costa-rica</x:v>
      </x:c>
      <x:c r="K57" s="12" t="str">
        <x:v>s según el grado solicitado para el reconocimiento y(o) equiparación. i. En el caso de solicitudes dirigidas a reconocer y(o) equiparar un posgrado, el solicitante debe presentar original y copia del diploma de grado académico (bachillerato o licenciatura). Si el título es del extranjero debe estar autenticado. j. Cualquier información adicional que solicite el Departamento de Admisión y Registro.</x:v>
      </x:c>
      <x:c r="L57" s="12" t="str">
        <x:v>tec-reconocimiento-grados-titulos::article-6::chunk-002</x:v>
      </x:c>
      <x:c r="M57" s="12" t="str">
        <x:v>tec-reconocimiento-grados-titulos</x:v>
      </x:c>
    </x:row>
    <x:row r="58" ht="92" customHeight="1">
      <x:c r="A58" s="11" t="str">
        <x:v>q012</x:v>
      </x:c>
      <x:c r="B58" s="11" t="str">
        <x:v>direct</x:v>
      </x:c>
      <x:c r="C58" s="11" t="str">
        <x:v>F2</x:v>
      </x:c>
      <x:c r="D58" s="11" t="n">
        <x:v>2</x:v>
      </x:c>
      <x:c r="E58" s="14" t="n">
        <x:v>0.8771593570709229</x:v>
      </x:c>
      <x:c r="F58" s="11" t="str">
        <x:v>tec-reconocimiento-grados-titulos::article-7</x:v>
      </x:c>
      <x:c r="G58" s="11" t="str">
        <x:v>Sí</x:v>
      </x:c>
      <x:c r="H58" s="11" t="str">
        <x:v>Sí</x:v>
      </x:c>
      <x:c r="I58" s="12" t="str">
        <x:v>Reglamento para el Reconocimiento y Equiparación de Grados y Títulos Tecnológico de Costa Rica, Artículo 7</x:v>
      </x:c>
      <x:c r="J58" s="12" t="str">
        <x:v>https://www.tec.ac.cr/reglamento-reconocimiento-equiparacion-grados-titulos-tecnologico-costa-rica</x:v>
      </x:c>
      <x:c r="K58" s="12" t="str">
        <x:v>Los documentos a que se hace referencia en los incisos b, c, y ch deben ser traducidos al español y los originales deben estar autenticados. Si no hay Cónsul de Costa Rica en el lugar en que se expide el documento, se puede utilizar el procedimiento de terceros países, el cual consiste en buscar un país en el que Costa Rica tenga representación y a su vez éste la tenga en la nación en donde se expide el documento.</x:v>
      </x:c>
      <x:c r="L58" s="12" t="str">
        <x:v>tec-reconocimiento-grados-titulos::article-7::chunk-001</x:v>
      </x:c>
      <x:c r="M58" s="12" t="str">
        <x:v>tec-reconocimiento-grados-titulos</x:v>
      </x:c>
    </x:row>
    <x:row r="59" ht="92" customHeight="1">
      <x:c r="A59" s="11" t="str">
        <x:v>q012</x:v>
      </x:c>
      <x:c r="B59" s="11" t="str">
        <x:v>direct</x:v>
      </x:c>
      <x:c r="C59" s="11" t="str">
        <x:v>F3</x:v>
      </x:c>
      <x:c r="D59" s="11" t="n">
        <x:v>3</x:v>
      </x:c>
      <x:c r="E59" s="14" t="n">
        <x:v>0.8730482459068298</x:v>
      </x:c>
      <x:c r="F59" s="11" t="str">
        <x:v>tec-reconocimiento-grados-titulos::article-8</x:v>
      </x:c>
      <x:c r="G59" s="11" t="str">
        <x:v>No</x:v>
      </x:c>
      <x:c r="H59" s="11" t="str">
        <x:v>Sí</x:v>
      </x:c>
      <x:c r="I59" s="12" t="str">
        <x:v>Reglamento para el Reconocimiento y Equiparación de Grados y Títulos Tecnológico de Costa Rica, Artículo 8</x:v>
      </x:c>
      <x:c r="J59" s="12" t="str">
        <x:v>https://www.tec.ac.cr/reglamento-reconocimiento-equiparacion-grados-titulos-tecnologico-costa-rica</x:v>
      </x:c>
      <x:c r="K59" s="12" t="str">
        <x:v>Las autenticaciones deben realizarse en los documentos originales, excepto cuando la institución que expide el documento certifique que una copia es fiel y exacta del documento original emitido. Esta certificación debe ser dada por una autoridad competente de la misma institución. La secuencia de autenticación de firmas debe ser la siguiente: a. Firma de la persona autorizada de la Oficina Legal de la Universidad en la que se obtuvo el diploma, dando fe de la oficialidad de la documentación. b. Firma de la autoridad competente gubernamental avalando la firma anterior. Esta firma debe existir cuando el Consulado de Costa Rica en el país donde se realizan los estudios así lo requiera. c. Firma del Cónsul de Costa Rica en el país en que obtuvo su título el interesado. ch. Firma autorizada del Ministerio de Relaciones Exteriores y Culto de Costa Rica avalando la firma del Cónsul.</x:v>
      </x:c>
      <x:c r="L59" s="12" t="str">
        <x:v>tec-reconocimiento-grados-titulos::article-8::chunk-001</x:v>
      </x:c>
      <x:c r="M59" s="12" t="str">
        <x:v>tec-reconocimiento-grados-titulos</x:v>
      </x:c>
    </x:row>
    <x:row r="60" ht="92" customHeight="1">
      <x:c r="A60" s="11" t="str">
        <x:v>q012</x:v>
      </x:c>
      <x:c r="B60" s="11" t="str">
        <x:v>direct</x:v>
      </x:c>
      <x:c r="C60" s="11" t="str">
        <x:v>F4</x:v>
      </x:c>
      <x:c r="D60" s="11" t="n">
        <x:v>4</x:v>
      </x:c>
      <x:c r="E60" s="14" t="n">
        <x:v>0.8729069232940674</x:v>
      </x:c>
      <x:c r="F60" s="11" t="str">
        <x:v>tec-reconocimiento-grados-titulos::article-5</x:v>
      </x:c>
      <x:c r="G60" s="11" t="str">
        <x:v>No</x:v>
      </x:c>
      <x:c r="H60" s="11" t="str">
        <x:v>No</x:v>
      </x:c>
      <x:c r="I60" s="12" t="str">
        <x:v>Reglamento para el Reconocimiento y Equiparación de Grados y Títulos Tecnológico de Costa Rica, Artículo 5</x:v>
      </x:c>
      <x:c r="J60" s="12" t="str">
        <x:v>https://www.tec.ac.cr/reglamento-reconocimiento-equiparacion-grados-titulos-tecnologico-costa-rica</x:v>
      </x:c>
      <x:c r="K60" s="12" t="str">
        <x:v>El ITCR sólo reconoce y(o) equipara títulos y grados académicos de Instituciones de Educación Superior Extranjeras acreditadas en su país de origen.</x:v>
      </x:c>
      <x:c r="L60" s="12" t="str">
        <x:v>tec-reconocimiento-grados-titulos::article-5::chunk-001</x:v>
      </x:c>
      <x:c r="M60" s="12" t="str">
        <x:v>tec-reconocimiento-grados-titulos</x:v>
      </x:c>
    </x:row>
    <x:row r="61" ht="92" customHeight="1">
      <x:c r="A61" s="11" t="str">
        <x:v>q012</x:v>
      </x:c>
      <x:c r="B61" s="11" t="str">
        <x:v>direct</x:v>
      </x:c>
      <x:c r="C61" s="11" t="str">
        <x:v>F5</x:v>
      </x:c>
      <x:c r="D61" s="11" t="n">
        <x:v>5</x:v>
      </x:c>
      <x:c r="E61" s="14" t="n">
        <x:v>0.8713178634643555</x:v>
      </x:c>
      <x:c r="F61" s="11" t="str">
        <x:v>tec-reconocimiento-grados-titulos::article-3</x:v>
      </x:c>
      <x:c r="G61" s="11" t="str">
        <x:v>No</x:v>
      </x:c>
      <x:c r="H61" s="11" t="str">
        <x:v>No</x:v>
      </x:c>
      <x:c r="I61" s="12" t="str">
        <x:v>Reglamento para el Reconocimiento y Equiparación de Grados y Títulos Tecnológico de Costa Rica, Artículo 3</x:v>
      </x:c>
      <x:c r="J61" s="12" t="str">
        <x:v>https://www.tec.ac.cr/reglamento-reconocimiento-equiparacion-grados-titulos-tecnologico-costa-rica</x:v>
      </x:c>
      <x:c r="K61" s="12" t="str">
        <x:v>Extranjera, el acto mediante el cual el ITCR, con base en la documentación presentada y en las calidades de la Institución que los extendió, acepta la autenticidad de dicho grado y título y lo inscribe en sus registros con el propósito, entre otros, de dar fe mediante certificación de la existencia del documento que lo acredita. Institución de educación superior extranjera: se refiere a aquellas Instituciones que: a. Están ubicadas físicamente en otro país y están acreditadas por ese, para extender grados y títulos académicos de nivel superior. b. Están ubicadas físicamente en Costa Rica, pero adscritas a una Institución Extranjera de Educación Superior, acreditada en su país para extender títulos y grados académicos de nivel superior. Institución acreditada: aquella de la que se da testimonio de su existencia en documento fehaciente y que su funcionamiento está autorizado por la instancia gubernamental correspondiente del respectivo país.</x:v>
      </x:c>
      <x:c r="L61" s="12" t="str">
        <x:v>tec-reconocimiento-grados-titulos::article-3::chunk-004</x:v>
      </x:c>
      <x:c r="M61" s="12" t="str">
        <x:v>tec-reconocimiento-grados-titulos</x:v>
      </x:c>
    </x:row>
    <x:row r="62" ht="92" customHeight="1">
      <x:c r="A62" s="11" t="str">
        <x:v>q013</x:v>
      </x:c>
      <x:c r="B62" s="11" t="str">
        <x:v>direct</x:v>
      </x:c>
      <x:c r="C62" s="11" t="str">
        <x:v>F1</x:v>
      </x:c>
      <x:c r="D62" s="11" t="n">
        <x:v>1</x:v>
      </x:c>
      <x:c r="E62" s="14" t="n">
        <x:v>0.9237312078475952</x:v>
      </x:c>
      <x:c r="F62" s="11" t="str">
        <x:v>tec-horas-estudiante-asistente::article-13</x:v>
      </x:c>
      <x:c r="G62" s="11" t="str">
        <x:v>Sí</x:v>
      </x:c>
      <x:c r="H62" s="11" t="str">
        <x:v>Sí</x:v>
      </x:c>
      <x:c r="I62" s="12" t="str">
        <x:v>Reglamento para la Asignación de Horas Estudiante y Horas Asistente en el Instituto Tecnológico de Costa Rica, Artículo 13</x:v>
      </x:c>
      <x:c r="J62" s="12" t="str">
        <x:v>https://www.tec.ac.cr/reglamento-asignacion-horas-estudiante-horas-asistente-instituto-tecnologico-costa-rica</x:v>
      </x:c>
      <x:c r="K62" s="12" t="str">
        <x:v>El mínimo de horas semanales que se podrán asignar a un estudiante por estos conceptos serán de cinco y el máximo de diez, y podrán efectuarse en la oficina del funcionario asistido o fuera de esta, según la índole de la función. El horario a cumplir por el estudiante se establecerá de común acuerdo entre este y el funcionario.</x:v>
      </x:c>
      <x:c r="L62" s="12" t="str">
        <x:v>tec-horas-estudiante-asistente::article-13::chunk-001</x:v>
      </x:c>
      <x:c r="M62" s="12" t="str">
        <x:v>tec-horas-estudiante-asistente</x:v>
      </x:c>
    </x:row>
    <x:row r="63" ht="92" customHeight="1">
      <x:c r="A63" s="11" t="str">
        <x:v>q013</x:v>
      </x:c>
      <x:c r="B63" s="11" t="str">
        <x:v>direct</x:v>
      </x:c>
      <x:c r="C63" s="11" t="str">
        <x:v>F2</x:v>
      </x:c>
      <x:c r="D63" s="11" t="n">
        <x:v>2</x:v>
      </x:c>
      <x:c r="E63" s="14" t="n">
        <x:v>0.901396632194519</x:v>
      </x:c>
      <x:c r="F63" s="11" t="str">
        <x:v>tec-horas-estudiante-asistente::article-14</x:v>
      </x:c>
      <x:c r="G63" s="11" t="str">
        <x:v>No</x:v>
      </x:c>
      <x:c r="H63" s="11" t="str">
        <x:v>No</x:v>
      </x:c>
      <x:c r="I63" s="12" t="str">
        <x:v>Reglamento para la Asignación de Horas Estudiante y Horas Asistente en el Instituto Tecnológico de Costa Rica, Artículo 14</x:v>
      </x:c>
      <x:c r="J63" s="12" t="str">
        <x:v>https://www.tec.ac.cr/reglamento-asignacion-horas-estudiante-horas-asistente-instituto-tecnologico-costa-rica</x:v>
      </x:c>
      <x:c r="K63" s="12" t="str">
        <x:v>La asignación de horas estudiante y horas asistente se hará para períodos no menores de un mes ni mayores de un semestre académico, pudiendo prorrogarse, siempre y cuando se cumpla con lo establecido en los Artículos 9 y 10 de este Reglamento, según corresponda.</x:v>
      </x:c>
      <x:c r="L63" s="12" t="str">
        <x:v>tec-horas-estudiante-asistente::article-14::chunk-001</x:v>
      </x:c>
      <x:c r="M63" s="12" t="str">
        <x:v>tec-horas-estudiante-asistente</x:v>
      </x:c>
    </x:row>
    <x:row r="64" ht="92" customHeight="1">
      <x:c r="A64" s="11" t="str">
        <x:v>q013</x:v>
      </x:c>
      <x:c r="B64" s="11" t="str">
        <x:v>direct</x:v>
      </x:c>
      <x:c r="C64" s="11" t="str">
        <x:v>F3</x:v>
      </x:c>
      <x:c r="D64" s="11" t="n">
        <x:v>3</x:v>
      </x:c>
      <x:c r="E64" s="14" t="n">
        <x:v>0.894033670425415</x:v>
      </x:c>
      <x:c r="F64" s="11" t="str">
        <x:v>tec-beca-asistente-especial::article-12</x:v>
      </x:c>
      <x:c r="G64" s="11" t="str">
        <x:v>No</x:v>
      </x:c>
      <x:c r="H64" s="11" t="str">
        <x:v>Sí</x:v>
      </x:c>
      <x:c r="I64" s="12" t="str">
        <x:v>Reglamento de Beca del Estudiante Asistente Especial del Instituto Tecnológico de Costa Rica, Artículo 12</x:v>
      </x:c>
      <x:c r="J64" s="12" t="str">
        <x:v>https://www.tec.ac.cr/reglamento-beca-estudiante-asistente-especial-instituto-tecnologico-costa-rica</x:v>
      </x:c>
      <x:c r="K64" s="12" t="str">
        <x:v>Las horas por semana que un(a) estudiante beneficiario(a) podrá dedicar para efectuar las actividades mencionadas, será de un mínimo de diez y un máximo de veinte, las cuales el o la estudiante las podrá efectuar en la oficina del o la funcionario(a) responsable o fuera de esta, según la índole de la función. El horario para ello se establecerá de común acuerdo entre el o la estudiante y el o la funcionario(a) respectivo(a).</x:v>
      </x:c>
      <x:c r="L64" s="12" t="str">
        <x:v>tec-beca-asistente-especial::article-12::chunk-001</x:v>
      </x:c>
      <x:c r="M64" s="12" t="str">
        <x:v>tec-beca-asistente-especial</x:v>
      </x:c>
    </x:row>
    <x:row r="65" ht="92" customHeight="1">
      <x:c r="A65" s="11" t="str">
        <x:v>q013</x:v>
      </x:c>
      <x:c r="B65" s="11" t="str">
        <x:v>direct</x:v>
      </x:c>
      <x:c r="C65" s="11" t="str">
        <x:v>F4</x:v>
      </x:c>
      <x:c r="D65" s="11" t="n">
        <x:v>4</x:v>
      </x:c>
      <x:c r="E65" s="14" t="n">
        <x:v>0.8865562677383423</x:v>
      </x:c>
      <x:c r="F65" s="11" t="str">
        <x:v>tec-horas-estudiante-asistente::article-10</x:v>
      </x:c>
      <x:c r="G65" s="11" t="str">
        <x:v>No</x:v>
      </x:c>
      <x:c r="H65" s="11" t="str">
        <x:v>No</x:v>
      </x:c>
      <x:c r="I65" s="12" t="str">
        <x:v>Reglamento para la Asignación de Horas Estudiante y Horas Asistente en el Instituto Tecnológico de Costa Rica, Artículo 10</x:v>
      </x:c>
      <x:c r="J65" s="12" t="str">
        <x:v>https://www.tec.ac.cr/reglamento-asignacion-horas-estudiante-horas-asistente-instituto-tecnologico-costa-rica</x:v>
      </x:c>
      <x:c r="K65" s="12" t="str">
        <x:v>Serán requisitos de los estudiantes designados bajo el sistema de horas estudiante: a. Ser estudiantes regulares de la Institución. b. Haber cursado como mínimo un semestre del Plan de Estudios de una carrera del Instituto o su equivalente en crédito. c. Tener un rendimiento académico no inferior a setenta (70) en la carrera que cursa. Se exceptúan de cumplir con este requisito los estudiantes asignados a actividades artísticas, culturales, deportivas y de acción social, con méritos reconocidos, a juicio de la Comisión.</x:v>
      </x:c>
      <x:c r="L65" s="12" t="str">
        <x:v>tec-horas-estudiante-asistente::article-10::chunk-001</x:v>
      </x:c>
      <x:c r="M65" s="12" t="str">
        <x:v>tec-horas-estudiante-asistente</x:v>
      </x:c>
    </x:row>
    <x:row r="66" ht="92" customHeight="1">
      <x:c r="A66" s="11" t="str">
        <x:v>q013</x:v>
      </x:c>
      <x:c r="B66" s="11" t="str">
        <x:v>direct</x:v>
      </x:c>
      <x:c r="C66" s="11" t="str">
        <x:v>F5</x:v>
      </x:c>
      <x:c r="D66" s="11" t="n">
        <x:v>5</x:v>
      </x:c>
      <x:c r="E66" s="14" t="n">
        <x:v>0.8837617039680481</x:v>
      </x:c>
      <x:c r="F66" s="11" t="str">
        <x:v>tec-horas-estudiante-asistente::article-19</x:v>
      </x:c>
      <x:c r="G66" s="11" t="str">
        <x:v>No</x:v>
      </x:c>
      <x:c r="H66" s="11" t="str">
        <x:v>No</x:v>
      </x:c>
      <x:c r="I66" s="12" t="str">
        <x:v>Reglamento para la Asignación de Horas Estudiante y Horas Asistente en el Instituto Tecnológico de Costa Rica, Artículo 19</x:v>
      </x:c>
      <x:c r="J66" s="12" t="str">
        <x:v>https://www.tec.ac.cr/reglamento-asignacion-horas-estudiante-horas-asistente-instituto-tecnologico-costa-rica</x:v>
      </x:c>
      <x:c r="K66" s="12" t="str">
        <x:v>El funcionario podrá solicitar los servicios de un estudiante asistente cuando el volumen de alumnos o tareas que atienda lo justifiquen, según lo establecido en la reglamentación correspondiente. La solicitud para estudiantes asistentes la harán los funcionarios ante el superior jerárquico respectivo, con las justificaciones del caso.</x:v>
      </x:c>
      <x:c r="L66" s="12" t="str">
        <x:v>tec-horas-estudiante-asistente::article-19::chunk-001</x:v>
      </x:c>
      <x:c r="M66" s="12" t="str">
        <x:v>tec-horas-estudiante-asistente</x:v>
      </x:c>
    </x:row>
    <x:row r="67" ht="92" customHeight="1">
      <x:c r="A67" s="11" t="str">
        <x:v>q014</x:v>
      </x:c>
      <x:c r="B67" s="11" t="str">
        <x:v>direct</x:v>
      </x:c>
      <x:c r="C67" s="11" t="str">
        <x:v>F1</x:v>
      </x:c>
      <x:c r="D67" s="11" t="n">
        <x:v>1</x:v>
      </x:c>
      <x:c r="E67" s="14" t="n">
        <x:v>0.9076776504516602</x:v>
      </x:c>
      <x:c r="F67" s="11" t="str">
        <x:v>tec-beca-asistente-especial::article-12</x:v>
      </x:c>
      <x:c r="G67" s="11" t="str">
        <x:v>Sí</x:v>
      </x:c>
      <x:c r="H67" s="11" t="str">
        <x:v>Sí</x:v>
      </x:c>
      <x:c r="I67" s="12" t="str">
        <x:v>Reglamento de Beca del Estudiante Asistente Especial del Instituto Tecnológico de Costa Rica, Artículo 12</x:v>
      </x:c>
      <x:c r="J67" s="12" t="str">
        <x:v>https://www.tec.ac.cr/reglamento-beca-estudiante-asistente-especial-instituto-tecnologico-costa-rica</x:v>
      </x:c>
      <x:c r="K67" s="12" t="str">
        <x:v>Las horas por semana que un(a) estudiante beneficiario(a) podrá dedicar para efectuar las actividades mencionadas, será de un mínimo de diez y un máximo de veinte, las cuales el o la estudiante las podrá efectuar en la oficina del o la funcionario(a) responsable o fuera de esta, según la índole de la función. El horario para ello se establecerá de común acuerdo entre el o la estudiante y el o la funcionario(a) respectivo(a).</x:v>
      </x:c>
      <x:c r="L67" s="12" t="str">
        <x:v>tec-beca-asistente-especial::article-12::chunk-001</x:v>
      </x:c>
      <x:c r="M67" s="12" t="str">
        <x:v>tec-beca-asistente-especial</x:v>
      </x:c>
    </x:row>
    <x:row r="68" ht="92" customHeight="1">
      <x:c r="A68" s="11" t="str">
        <x:v>q014</x:v>
      </x:c>
      <x:c r="B68" s="11" t="str">
        <x:v>direct</x:v>
      </x:c>
      <x:c r="C68" s="11" t="str">
        <x:v>F2</x:v>
      </x:c>
      <x:c r="D68" s="11" t="n">
        <x:v>2</x:v>
      </x:c>
      <x:c r="E68" s="14" t="n">
        <x:v>0.9020841717720032</x:v>
      </x:c>
      <x:c r="F68" s="11" t="str">
        <x:v>tec-beca-asistente-especial::article-9</x:v>
      </x:c>
      <x:c r="G68" s="11" t="str">
        <x:v>No</x:v>
      </x:c>
      <x:c r="H68" s="11" t="str">
        <x:v>No</x:v>
      </x:c>
      <x:c r="I68" s="12" t="str">
        <x:v>Reglamento de Beca del Estudiante Asistente Especial del Instituto Tecnológico de Costa Rica, Artículo 9</x:v>
      </x:c>
      <x:c r="J68" s="12" t="str">
        <x:v>https://www.tec.ac.cr/reglamento-beca-estudiante-asistente-especial-instituto-tecnologico-costa-rica</x:v>
      </x:c>
      <x:c r="K68" s="12" t="str">
        <x:v>El Estudiante Asistente Especial recibirá por parte de la Institución, una ayuda monetaria o beca mensual por las actividades realizadas. Esta beca estará en función de la cantidad de horas que el estudiante dedique a dichas actividades. En el caso de becas de este tipo, financiadas con el FSDE, el monto a pagar por la hora mensual será especificado de acuerdo con lo normado por el Reglamento de Becas y Préstamos Estudiantiles del Instituto Tecnológico de Costa Rica y sus Reformas. En el caso de becas de este tipo, financiadas por proyectos, el monto a pagar por hora mensual será especificado anualmente, por un Comité conformado por los Vicerrectores, según los criterios estipulados en el artículo 21 y asegurando equidad en el trato para actividades equivalentes.</x:v>
      </x:c>
      <x:c r="L68" s="12" t="str">
        <x:v>tec-beca-asistente-especial::article-9::chunk-001</x:v>
      </x:c>
      <x:c r="M68" s="12" t="str">
        <x:v>tec-beca-asistente-especial</x:v>
      </x:c>
    </x:row>
    <x:row r="69" ht="92" customHeight="1">
      <x:c r="A69" s="11" t="str">
        <x:v>q014</x:v>
      </x:c>
      <x:c r="B69" s="11" t="str">
        <x:v>direct</x:v>
      </x:c>
      <x:c r="C69" s="11" t="str">
        <x:v>F3</x:v>
      </x:c>
      <x:c r="D69" s="11" t="n">
        <x:v>3</x:v>
      </x:c>
      <x:c r="E69" s="14" t="n">
        <x:v>0.8970241546630859</x:v>
      </x:c>
      <x:c r="F69" s="11" t="str">
        <x:v>tec-beca-asistente-especial::article-5</x:v>
      </x:c>
      <x:c r="G69" s="11" t="str">
        <x:v>No</x:v>
      </x:c>
      <x:c r="H69" s="11" t="str">
        <x:v>No</x:v>
      </x:c>
      <x:c r="I69" s="12" t="str">
        <x:v>Reglamento de Beca del Estudiante Asistente Especial del Instituto Tecnológico de Costa Rica, Artículo 5</x:v>
      </x:c>
      <x:c r="J69" s="12" t="str">
        <x:v>https://www.tec.ac.cr/reglamento-beca-estudiante-asistente-especial-instituto-tecnologico-costa-rica</x:v>
      </x:c>
      <x:c r="K69" s="12" t="str">
        <x:v>La beca Estudiante Asistente Especial tiene como objetivo apoyar las actividades o proyectos que se realizan en Docencia, Investigación, Extensión, Apoyo a la Academia y la Vida Estudiantil, en las Instancias de la Dirección Superior, cada Vicerrectoría, Campus Tecnológico o Centro Académico. Así reformado por acuerdo del Consejo Institucional, Sesión Ordinaria Número 3240, Artículo 14 del 27 de octubre del 2021. Publicado en fecha 28 de octubre del 2021 mediante la Gaceta Número 837-2021 de fecha 28 de octubre del 2021.</x:v>
      </x:c>
      <x:c r="L69" s="12" t="str">
        <x:v>tec-beca-asistente-especial::article-5::chunk-001</x:v>
      </x:c>
      <x:c r="M69" s="12" t="str">
        <x:v>tec-beca-asistente-especial</x:v>
      </x:c>
    </x:row>
    <x:row r="70" ht="92" customHeight="1">
      <x:c r="A70" s="11" t="str">
        <x:v>q014</x:v>
      </x:c>
      <x:c r="B70" s="11" t="str">
        <x:v>direct</x:v>
      </x:c>
      <x:c r="C70" s="11" t="str">
        <x:v>F4</x:v>
      </x:c>
      <x:c r="D70" s="11" t="n">
        <x:v>4</x:v>
      </x:c>
      <x:c r="E70" s="14" t="n">
        <x:v>0.8963507413864136</x:v>
      </x:c>
      <x:c r="F70" s="11" t="str">
        <x:v>tec-beca-asistente-especial::article-7</x:v>
      </x:c>
      <x:c r="G70" s="11" t="str">
        <x:v>No</x:v>
      </x:c>
      <x:c r="H70" s="11" t="str">
        <x:v>No</x:v>
      </x:c>
      <x:c r="I70" s="12" t="str">
        <x:v>Reglamento de Beca del Estudiante Asistente Especial del Instituto Tecnológico de Costa Rica, Artículo 7</x:v>
      </x:c>
      <x:c r="J70" s="12" t="str">
        <x:v>https://www.tec.ac.cr/reglamento-beca-estudiante-asistente-especial-instituto-tecnologico-costa-rica</x:v>
      </x:c>
      <x:c r="K70" s="12" t="str">
        <x:v>Al asignar a un o una estudiante horas de la Beca Estudiante Asistente Especial, el(la) superior(a) jerárquico(a) de la instancia o el(la) presidente(a) del órgano de la Dirección Superior, vicerrector(a), director(a) de Campus Tecnológico o Centro Académico o el(la) Director(a) del Departamento o Escuela que recibirá el apoyo, indicará por escrito al o la estudiante las actividades que este deberá realizar y los alcances de su participación. El(la) superior(a) jerárquico(a) de la instancia o el(la) presidente(a) del órgano de la Dirección Superior, vicerrector(a), director(a) de Campus Tecnológico o Centro Académico podrán delegar esta función en un subalterno Así reformado por acuerdo del Consejo Institucional, Sesión Ordinaria Número 3240, Artículo 14 del 27 de octubre del 2021. Publicado en fecha 28 de octubre del 2021 mediante la Gaceta Número 837-2021 de fecha 28 de octubre del 2021.</x:v>
      </x:c>
      <x:c r="L70" s="12" t="str">
        <x:v>tec-beca-asistente-especial::article-7::chunk-001</x:v>
      </x:c>
      <x:c r="M70" s="12" t="str">
        <x:v>tec-beca-asistente-especial</x:v>
      </x:c>
    </x:row>
    <x:row r="71" ht="92" customHeight="1">
      <x:c r="A71" s="11" t="str">
        <x:v>q014</x:v>
      </x:c>
      <x:c r="B71" s="11" t="str">
        <x:v>direct</x:v>
      </x:c>
      <x:c r="C71" s="11" t="str">
        <x:v>F5</x:v>
      </x:c>
      <x:c r="D71" s="11" t="n">
        <x:v>5</x:v>
      </x:c>
      <x:c r="E71" s="14" t="n">
        <x:v>0.8951941728591919</x:v>
      </x:c>
      <x:c r="F71" s="11" t="str">
        <x:v>tec-beca-asistente-especial::article-13</x:v>
      </x:c>
      <x:c r="G71" s="11" t="str">
        <x:v>No</x:v>
      </x:c>
      <x:c r="H71" s="11" t="str">
        <x:v>No</x:v>
      </x:c>
      <x:c r="I71" s="12" t="str">
        <x:v>Reglamento de Beca del Estudiante Asistente Especial del Instituto Tecnológico de Costa Rica, Artículo 13</x:v>
      </x:c>
      <x:c r="J71" s="12" t="str">
        <x:v>https://www.tec.ac.cr/reglamento-beca-estudiante-asistente-especial-instituto-tecnologico-costa-rica</x:v>
      </x:c>
      <x:c r="K71" s="12" t="str">
        <x:v>La duración de este beneficio no podrá exceder veinte semanas por período lectivo. Este período se puede ampliar de común acuerdo con la escuela siempre y cuando se cumpla con lo establecido en el Artículo 12 de este Reglamento.</x:v>
      </x:c>
      <x:c r="L71" s="12" t="str">
        <x:v>tec-beca-asistente-especial::article-13::chunk-001</x:v>
      </x:c>
      <x:c r="M71" s="12" t="str">
        <x:v>tec-beca-asistente-especial</x:v>
      </x:c>
    </x:row>
    <x:row r="72" ht="92" customHeight="1">
      <x:c r="A72" s="11" t="str">
        <x:v>q015</x:v>
      </x:c>
      <x:c r="B72" s="11" t="str">
        <x:v>direct</x:v>
      </x:c>
      <x:c r="C72" s="11" t="str">
        <x:v>F1</x:v>
      </x:c>
      <x:c r="D72" s="11" t="n">
        <x:v>1</x:v>
      </x:c>
      <x:c r="E72" s="14" t="n">
        <x:v>0.902521014213562</x:v>
      </x:c>
      <x:c r="F72" s="11" t="str">
        <x:v>tec-beca-asistente-investigacion::article-11</x:v>
      </x:c>
      <x:c r="G72" s="11" t="str">
        <x:v>Sí</x:v>
      </x:c>
      <x:c r="H72" s="11" t="str">
        <x:v>Sí</x:v>
      </x:c>
      <x:c r="I72" s="12" t="str">
        <x:v>Normativa de Beca del Estudiante Asistente para Proyectos de Investigación y Extensión, Artículo 11</x:v>
      </x:c>
      <x:c r="J72" s="12" t="str">
        <x:v>https://www.tec.ac.cr/normativa-beca-estudiante-asistente-proyectos-investigacion-extension</x:v>
      </x:c>
      <x:c r="K72" s="12" t="str">
        <x:v>Serán requisitos para las y los estudiantes que deseen participar como Estudiante Asistente para Proyectos de Investigación y Extensión: Ser estudiante activo del Instituto Tecnológico de Costa Rica Estar dispuesto a dedicar un máximo de 20 horas por semana a las actividades requeridas como apoyo al proyecto de investigación y extensión, con excepción de los estudiantes que cursan trabajo final de graduación y que estos sean parte de un proyecto de investigación o de extensión inscrito en la VIE, en cuyo caso podrán dedicarse hasta por un máximo de 40 horas semanales Cumplir con las especificaciones particulares que establezcan el o los investigadores responsables del proyecto de investigación, extensión y actividad de fortalecimiento a la investigación</x:v>
      </x:c>
      <x:c r="L72" s="12" t="str">
        <x:v>tec-beca-asistente-investigacion::article-11::chunk-001</x:v>
      </x:c>
      <x:c r="M72" s="12" t="str">
        <x:v>tec-beca-asistente-investigacion</x:v>
      </x:c>
    </x:row>
    <x:row r="73" ht="92" customHeight="1">
      <x:c r="A73" s="11" t="str">
        <x:v>q015</x:v>
      </x:c>
      <x:c r="B73" s="11" t="str">
        <x:v>direct</x:v>
      </x:c>
      <x:c r="C73" s="11" t="str">
        <x:v>F2</x:v>
      </x:c>
      <x:c r="D73" s="11" t="n">
        <x:v>2</x:v>
      </x:c>
      <x:c r="E73" s="14" t="n">
        <x:v>0.899182140827179</x:v>
      </x:c>
      <x:c r="F73" s="11" t="str">
        <x:v>tec-beca-asistente-investigacion::article-9</x:v>
      </x:c>
      <x:c r="G73" s="11" t="str">
        <x:v>No</x:v>
      </x:c>
      <x:c r="H73" s="11" t="str">
        <x:v>No</x:v>
      </x:c>
      <x:c r="I73" s="12" t="str">
        <x:v>Normativa de Beca del Estudiante Asistente para Proyectos de Investigación y Extensión, Artículo 9</x:v>
      </x:c>
      <x:c r="J73" s="12" t="str">
        <x:v>https://www.tec.ac.cr/normativa-beca-estudiante-asistente-proyectos-investigacion-extension</x:v>
      </x:c>
      <x:c r="K73" s="12" t="str">
        <x:v>Al asignar a un(a) estudiante horas para la beca Estudiante Asistente para Proyectos de Investigación y Extensión el responsable del proyecto le indicará al estudiante las labores que deberá realizar, los alcances de su participación y el horario que deberá cumplir.</x:v>
      </x:c>
      <x:c r="L73" s="12" t="str">
        <x:v>tec-beca-asistente-investigacion::article-9::chunk-001</x:v>
      </x:c>
      <x:c r="M73" s="12" t="str">
        <x:v>tec-beca-asistente-investigacion</x:v>
      </x:c>
    </x:row>
    <x:row r="74" ht="92" customHeight="1">
      <x:c r="A74" s="11" t="str">
        <x:v>q015</x:v>
      </x:c>
      <x:c r="B74" s="11" t="str">
        <x:v>direct</x:v>
      </x:c>
      <x:c r="C74" s="11" t="str">
        <x:v>F3</x:v>
      </x:c>
      <x:c r="D74" s="11" t="n">
        <x:v>3</x:v>
      </x:c>
      <x:c r="E74" s="14" t="n">
        <x:v>0.8953901529312134</x:v>
      </x:c>
      <x:c r="F74" s="11" t="str">
        <x:v>tec-beca-asistente-investigacion::article-7</x:v>
      </x:c>
      <x:c r="G74" s="11" t="str">
        <x:v>No</x:v>
      </x:c>
      <x:c r="H74" s="11" t="str">
        <x:v>No</x:v>
      </x:c>
      <x:c r="I74" s="12" t="str">
        <x:v>Normativa de Beca del Estudiante Asistente para Proyectos de Investigación y Extensión, Artículo 7</x:v>
      </x:c>
      <x:c r="J74" s="12" t="str">
        <x:v>https://www.tec.ac.cr/normativa-beca-estudiante-asistente-proyectos-investigacion-extension</x:v>
      </x:c>
      <x:c r="K74" s="12" t="str">
        <x:v>El Estudiante Asistente para Proyectos de Investigación y Extensión recibirá por parte del proyecto específico que lo eligió, una ayuda monetaria o beca mensual por las actividades realizadas y la misma estará en función de la cantidad de horas que el estudiante dedique a dicho proyecto.</x:v>
      </x:c>
      <x:c r="L74" s="12" t="str">
        <x:v>tec-beca-asistente-investigacion::article-7::chunk-001</x:v>
      </x:c>
      <x:c r="M74" s="12" t="str">
        <x:v>tec-beca-asistente-investigacion</x:v>
      </x:c>
    </x:row>
    <x:row r="75" ht="92" customHeight="1">
      <x:c r="A75" s="11" t="str">
        <x:v>q015</x:v>
      </x:c>
      <x:c r="B75" s="11" t="str">
        <x:v>direct</x:v>
      </x:c>
      <x:c r="C75" s="11" t="str">
        <x:v>F4</x:v>
      </x:c>
      <x:c r="D75" s="11" t="n">
        <x:v>4</x:v>
      </x:c>
      <x:c r="E75" s="14" t="n">
        <x:v>0.8927570581436157</x:v>
      </x:c>
      <x:c r="F75" s="11" t="str">
        <x:v>tec-horas-estudiante-asistente::article-13</x:v>
      </x:c>
      <x:c r="G75" s="11" t="str">
        <x:v>No</x:v>
      </x:c>
      <x:c r="H75" s="11" t="str">
        <x:v>No</x:v>
      </x:c>
      <x:c r="I75" s="12" t="str">
        <x:v>Reglamento para la Asignación de Horas Estudiante y Horas Asistente en el Instituto Tecnológico de Costa Rica, Artículo 13</x:v>
      </x:c>
      <x:c r="J75" s="12" t="str">
        <x:v>https://www.tec.ac.cr/reglamento-asignacion-horas-estudiante-horas-asistente-instituto-tecnologico-costa-rica</x:v>
      </x:c>
      <x:c r="K75" s="12" t="str">
        <x:v>El mínimo de horas semanales que se podrán asignar a un estudiante por estos conceptos serán de cinco y el máximo de diez, y podrán efectuarse en la oficina del funcionario asistido o fuera de esta, según la índole de la función. El horario a cumplir por el estudiante se establecerá de común acuerdo entre este y el funcionario.</x:v>
      </x:c>
      <x:c r="L75" s="12" t="str">
        <x:v>tec-horas-estudiante-asistente::article-13::chunk-001</x:v>
      </x:c>
      <x:c r="M75" s="12" t="str">
        <x:v>tec-horas-estudiante-asistente</x:v>
      </x:c>
    </x:row>
    <x:row r="76" ht="92" customHeight="1">
      <x:c r="A76" s="11" t="str">
        <x:v>q015</x:v>
      </x:c>
      <x:c r="B76" s="11" t="str">
        <x:v>direct</x:v>
      </x:c>
      <x:c r="C76" s="11" t="str">
        <x:v>F5</x:v>
      </x:c>
      <x:c r="D76" s="11" t="n">
        <x:v>5</x:v>
      </x:c>
      <x:c r="E76" s="14" t="n">
        <x:v>0.8900028467178345</x:v>
      </x:c>
      <x:c r="F76" s="11" t="str">
        <x:v>tec-beca-asistente-investigacion::article-6</x:v>
      </x:c>
      <x:c r="G76" s="11" t="str">
        <x:v>No</x:v>
      </x:c>
      <x:c r="H76" s="11" t="str">
        <x:v>No</x:v>
      </x:c>
      <x:c r="I76" s="12" t="str">
        <x:v>Normativa de Beca del Estudiante Asistente para Proyectos de Investigación y Extensión, Artículo 6</x:v>
      </x:c>
      <x:c r="J76" s="12" t="str">
        <x:v>https://www.tec.ac.cr/normativa-beca-estudiante-asistente-proyectos-investigacion-extension</x:v>
      </x:c>
      <x:c r="K76" s="12" t="str">
        <x:v>El monto a pagar por hora mensual será especificado anualmente por el Consejo de Investigación y Extensión.</x:v>
      </x:c>
      <x:c r="L76" s="12" t="str">
        <x:v>tec-beca-asistente-investigacion::article-6::chunk-001</x:v>
      </x:c>
      <x:c r="M76" s="12" t="str">
        <x:v>tec-beca-asistente-investigacion</x:v>
      </x:c>
    </x:row>
    <x:row r="77" ht="92" customHeight="1">
      <x:c r="A77" s="11" t="str">
        <x:v>q016</x:v>
      </x:c>
      <x:c r="B77" s="11" t="str">
        <x:v>direct</x:v>
      </x:c>
      <x:c r="C77" s="11" t="str">
        <x:v>F1</x:v>
      </x:c>
      <x:c r="D77" s="11" t="n">
        <x:v>1</x:v>
      </x:c>
      <x:c r="E77" s="14" t="n">
        <x:v>0.8890349864959717</x:v>
      </x:c>
      <x:c r="F77" s="11" t="str">
        <x:v>tec-fondo-solidario::article-5</x:v>
      </x:c>
      <x:c r="G77" s="11" t="str">
        <x:v>No</x:v>
      </x:c>
      <x:c r="H77" s="11" t="str">
        <x:v>No</x:v>
      </x:c>
      <x:c r="I77" s="12" t="str">
        <x:v>Reglamento del Fondo Solidario de Desarrollo Estudiantil del Instituto Tecnológico de Costa Rica, Artículo 5 LOS PRINCIPIOS DEL FONDO</x:v>
      </x:c>
      <x:c r="J77" s="12" t="str">
        <x:v>https://www.tec.ac.cr/reglamento-fondo-solidario-desarrollo-estudiantil-instituto-tecnologico-costa-rica</x:v>
      </x:c>
      <x:c r="K77" s="12" t="str">
        <x:v>Los principios por los que se guía el Fondo Solidario de Desarrollo Estudiantil son los siguientes: a. La educación universitaria es un derecho humano que debe ofrecerse bajo los principios de solidaridad, igualdad y equidad. b. La universidad pública debe asegurar el ingreso y permanencia de la población estudiantil de bajos recursos, proporcionándole condiciones adecuadas para asegurar su éxito académico dentro de un concepto de formación integral.</x:v>
      </x:c>
      <x:c r="L77" s="12" t="str">
        <x:v>tec-fondo-solidario::article-5::chunk-001</x:v>
      </x:c>
      <x:c r="M77" s="12" t="str">
        <x:v>tec-fondo-solidario</x:v>
      </x:c>
    </x:row>
    <x:row r="78" ht="92" customHeight="1">
      <x:c r="A78" s="11" t="str">
        <x:v>q016</x:v>
      </x:c>
      <x:c r="B78" s="11" t="str">
        <x:v>direct</x:v>
      </x:c>
      <x:c r="C78" s="11" t="str">
        <x:v>F2</x:v>
      </x:c>
      <x:c r="D78" s="11" t="n">
        <x:v>2</x:v>
      </x:c>
      <x:c r="E78" s="14" t="n">
        <x:v>0.8768901824951172</x:v>
      </x:c>
      <x:c r="F78" s="11" t="str">
        <x:v>tec-fondo-solidario::article-6</x:v>
      </x:c>
      <x:c r="G78" s="11" t="str">
        <x:v>No</x:v>
      </x:c>
      <x:c r="H78" s="11" t="str">
        <x:v>No</x:v>
      </x:c>
      <x:c r="I78" s="12" t="str">
        <x:v>Reglamento del Fondo Solidario de Desarrollo Estudiantil del Instituto Tecnológico de Costa Rica, Artículo 6 LOS FINES DEL FONDO</x:v>
      </x:c>
      <x:c r="J78" s="12" t="str">
        <x:v>https://www.tec.ac.cr/reglamento-fondo-solidario-desarrollo-estudiantil-instituto-tecnologico-costa-rica</x:v>
      </x:c>
      <x:c r="K78" s="12" t="str">
        <x:v>Los fines que persigue el Fondo Solidario de Desarrollo Estudiantil son los siguientes: a- Propiciar la equidad en las oportunidades de estudio universitario para la población estudiantil del ITCR. b- Mejorar los medios por los cuales el estudiantado obtiene su formación académica c- Apoyar la formación integral de los y las estudiantes por medio del aporte financiero a programas y actividades que permitan su desarrollo humano. d- Fortalecer la calidad de los servicios estudiantiles que ofrece la Institución mediante aportes dirigidos a actividades específicas.</x:v>
      </x:c>
      <x:c r="L78" s="12" t="str">
        <x:v>tec-fondo-solidario::article-6::chunk-001</x:v>
      </x:c>
      <x:c r="M78" s="12" t="str">
        <x:v>tec-fondo-solidario</x:v>
      </x:c>
    </x:row>
    <x:row r="79" ht="92" customHeight="1">
      <x:c r="A79" s="11" t="str">
        <x:v>q016</x:v>
      </x:c>
      <x:c r="B79" s="11" t="str">
        <x:v>direct</x:v>
      </x:c>
      <x:c r="C79" s="11" t="str">
        <x:v>F3</x:v>
      </x:c>
      <x:c r="D79" s="11" t="n">
        <x:v>3</x:v>
      </x:c>
      <x:c r="E79" s="14" t="n">
        <x:v>0.8750287890434265</x:v>
      </x:c>
      <x:c r="F79" s="11" t="str">
        <x:v>tec-beca-asistente-especial::article-17</x:v>
      </x:c>
      <x:c r="G79" s="11" t="str">
        <x:v>No</x:v>
      </x:c>
      <x:c r="H79" s="11" t="str">
        <x:v>No</x:v>
      </x:c>
      <x:c r="I79" s="12" t="str">
        <x:v>Reglamento de Beca del Estudiante Asistente Especial del Instituto Tecnológico de Costa Rica, Artículo 17</x:v>
      </x:c>
      <x:c r="J79" s="12" t="str">
        <x:v>https://www.tec.ac.cr/reglamento-beca-estudiante-asistente-especial-instituto-tecnologico-costa-rica</x:v>
      </x:c>
      <x:c r="K79" s="12" t="str">
        <x:v>El Programa Estudiante Asistente Especial (PEAE), es una categoría del Programa de Becas de Asistencia Estudiantil y corresponderá a la Comisión Ejecutiva del Fondo Solidario de Desarrollo Estudiantil, proponer el presupuesto a asignar cada año a este Programa para que sea aprobado por el Consejo Institucional y en el caso de proyectos de otras instancias, corresponderá al superior jerárquico de cada una, gestionar los fondos correspondientes.</x:v>
      </x:c>
      <x:c r="L79" s="12" t="str">
        <x:v>tec-beca-asistente-especial::article-17::chunk-001</x:v>
      </x:c>
      <x:c r="M79" s="12" t="str">
        <x:v>tec-beca-asistente-especial</x:v>
      </x:c>
    </x:row>
    <x:row r="80" ht="92" customHeight="1">
      <x:c r="A80" s="11" t="str">
        <x:v>q016</x:v>
      </x:c>
      <x:c r="B80" s="11" t="str">
        <x:v>direct</x:v>
      </x:c>
      <x:c r="C80" s="11" t="str">
        <x:v>F4</x:v>
      </x:c>
      <x:c r="D80" s="11" t="n">
        <x:v>4</x:v>
      </x:c>
      <x:c r="E80" s="14" t="n">
        <x:v>0.8715246915817261</x:v>
      </x:c>
      <x:c r="F80" s="11" t="str">
        <x:v>tec-beca-asistente-especial::article-1</x:v>
      </x:c>
      <x:c r="G80" s="11" t="str">
        <x:v>No</x:v>
      </x:c>
      <x:c r="H80" s="11" t="str">
        <x:v>No</x:v>
      </x:c>
      <x:c r="I80" s="12" t="str">
        <x:v>Reglamento de Beca del Estudiante Asistente Especial del Instituto Tecnológico de Costa Rica, Artículo 1</x:v>
      </x:c>
      <x:c r="J80" s="12" t="str">
        <x:v>https://www.tec.ac.cr/reglamento-beca-estudiante-asistente-especial-instituto-tecnologico-costa-rica</x:v>
      </x:c>
      <x:c r="K80" s="12" t="str">
        <x:v>Estudiante Asistente Especial: Es el o la estudiante regular del Instituto Tecnológico de Costa Rica que cursa algún programa de pregrado, grado o postgrado y que con base en criterios definidos en este reglamento apoyan, con idoneidad y bajo supervisión y consejo de funcionarios responsables algunas de las actividades en las áreas o proyectos de Docencia, Investigación, Extensión y Apoyo a la Academia, Por dicho aporte el estudiante se hace acreedor de una ayuda económica o beca. Carácter Asistencial: Condición que define la no responsabilidad directa del estudiante asistente lo cual limita sus competencias sobre la tarea realizada, y que además requiere de la formulación de instrucciones y supervisión por parte del funcionario responsable. Funcionario Responsable: Es el o la funcionario(a) trabajador(a) del Instituto Tecnológico de Costa Rica en quien recae la responsabilidad de cumplir con las funciones a desarrollar y que recibe apoyo de un o una estudiante asistente especial para lograr el cumplimiento adecuado de las mismas. Fondo Solidario de Desarrollo Estudiantil: Es el fondo creado por el Consejo Institucional en la Sesión No. 2028, Artículo 6, del 6 de noviembre de 1998.</x:v>
      </x:c>
      <x:c r="L80" s="12" t="str">
        <x:v>tec-beca-asistente-especial::article-1::chunk-001</x:v>
      </x:c>
      <x:c r="M80" s="12" t="str">
        <x:v>tec-beca-asistente-especial</x:v>
      </x:c>
    </x:row>
    <x:row r="81" ht="92" customHeight="1">
      <x:c r="A81" s="11" t="str">
        <x:v>q016</x:v>
      </x:c>
      <x:c r="B81" s="11" t="str">
        <x:v>direct</x:v>
      </x:c>
      <x:c r="C81" s="11" t="str">
        <x:v>F5</x:v>
      </x:c>
      <x:c r="D81" s="11" t="n">
        <x:v>5</x:v>
      </x:c>
      <x:c r="E81" s="14" t="n">
        <x:v>0.871128261089325</x:v>
      </x:c>
      <x:c r="F81" s="11" t="str">
        <x:v>tec-beca-asistente-especial::article-14</x:v>
      </x:c>
      <x:c r="G81" s="11" t="str">
        <x:v>No</x:v>
      </x:c>
      <x:c r="H81" s="11" t="str">
        <x:v>No</x:v>
      </x:c>
      <x:c r="I81" s="12" t="str">
        <x:v>Reglamento de Beca del Estudiante Asistente Especial del Instituto Tecnológico de Costa Rica, Artículo 14</x:v>
      </x:c>
      <x:c r="J81" s="12" t="str">
        <x:v>https://www.tec.ac.cr/reglamento-beca-estudiante-asistente-especial-instituto-tecnologico-costa-rica</x:v>
      </x:c>
      <x:c r="K81" s="12" t="str">
        <x:v>En el caso de becas de este tipo, financiadas con el FSDE, en el Calendario Académico de cada año, se definirá el período para presentar solicitudes de necesidades por parte de las dependencias institucionales ante la Comisión Ejecutiva del Fondo Solidario de Desarrollo Estudiantil. Las solicitudes deberán incluir las necesidades del número de horas, el carácter de la actividad y los requisitos que deben tener los estudiantes beneficiados.</x:v>
      </x:c>
      <x:c r="L81" s="12" t="str">
        <x:v>tec-beca-asistente-especial::article-14::chunk-001</x:v>
      </x:c>
      <x:c r="M81" s="12" t="str">
        <x:v>tec-beca-asistente-especial</x:v>
      </x:c>
    </x:row>
    <x:row r="82" ht="92" customHeight="1">
      <x:c r="A82" s="11" t="str">
        <x:v>q017</x:v>
      </x:c>
      <x:c r="B82" s="11" t="str">
        <x:v>direct</x:v>
      </x:c>
      <x:c r="C82" s="11" t="str">
        <x:v>F1</x:v>
      </x:c>
      <x:c r="D82" s="11" t="n">
        <x:v>1</x:v>
      </x:c>
      <x:c r="E82" s="14" t="n">
        <x:v>0.9098023176193237</x:v>
      </x:c>
      <x:c r="F82" s="11" t="str">
        <x:v>tec-financiamiento-exterior::article-2</x:v>
      </x:c>
      <x:c r="G82" s="11" t="str">
        <x:v>No</x:v>
      </x:c>
      <x:c r="H82" s="11" t="str">
        <x:v>Sí</x:v>
      </x:c>
      <x:c r="I82" s="12" t="str">
        <x:v>Reglamento del Fondo de Financiamiento de Actividades en el Exterior para Estudiantes de Diplomado y Bachillerato, Artículo 2</x:v>
      </x:c>
      <x:c r="J82" s="12" t="str">
        <x:v>https://www.tec.ac.cr/reglamento-fondo-financiamiento-actividades-exterior-estudiantes-diplomado-bachillerato</x:v>
      </x:c>
      <x:c r="K82" s="12" t="str">
        <x:v>Este Fondo se utilizará para proporcionar una ayuda económica al estudiante que participa en actividades educativas, culturales o de desarrollo estudiantil en el exterior.</x:v>
      </x:c>
      <x:c r="L82" s="12" t="str">
        <x:v>tec-financiamiento-exterior::article-2::chunk-001</x:v>
      </x:c>
      <x:c r="M82" s="12" t="str">
        <x:v>tec-financiamiento-exterior</x:v>
      </x:c>
    </x:row>
    <x:row r="83" ht="92" customHeight="1">
      <x:c r="A83" s="11" t="str">
        <x:v>q017</x:v>
      </x:c>
      <x:c r="B83" s="11" t="str">
        <x:v>direct</x:v>
      </x:c>
      <x:c r="C83" s="11" t="str">
        <x:v>F2</x:v>
      </x:c>
      <x:c r="D83" s="11" t="n">
        <x:v>2</x:v>
      </x:c>
      <x:c r="E83" s="14" t="n">
        <x:v>0.9068543910980225</x:v>
      </x:c>
      <x:c r="F83" s="11" t="str">
        <x:v>tec-financiamiento-exterior::article-13</x:v>
      </x:c>
      <x:c r="G83" s="11" t="str">
        <x:v>No</x:v>
      </x:c>
      <x:c r="H83" s="11" t="str">
        <x:v>Sí</x:v>
      </x:c>
      <x:c r="I83" s="12" t="str">
        <x:v>Reglamento del Fondo de Financiamiento de Actividades en el Exterior para Estudiantes de Diplomado y Bachillerato, Artículo 13</x:v>
      </x:c>
      <x:c r="J83" s="12" t="str">
        <x:v>https://www.tec.ac.cr/reglamento-fondo-financiamiento-actividades-exterior-estudiantes-diplomado-bachillerato</x:v>
      </x:c>
      <x:c r="K83" s="12" t="str">
        <x:v>El evento deberá enmarcarse en el ámbito científico tecnológico, cultural o de desarrollo estudiantil y tener carácter de evento internacional.</x:v>
      </x:c>
      <x:c r="L83" s="12" t="str">
        <x:v>tec-financiamiento-exterior::article-13::chunk-001</x:v>
      </x:c>
      <x:c r="M83" s="12" t="str">
        <x:v>tec-financiamiento-exterior</x:v>
      </x:c>
    </x:row>
    <x:row r="84" ht="92" customHeight="1">
      <x:c r="A84" s="11" t="str">
        <x:v>q017</x:v>
      </x:c>
      <x:c r="B84" s="11" t="str">
        <x:v>direct</x:v>
      </x:c>
      <x:c r="C84" s="11" t="str">
        <x:v>F3</x:v>
      </x:c>
      <x:c r="D84" s="11" t="n">
        <x:v>3</x:v>
      </x:c>
      <x:c r="E84" s="14" t="n">
        <x:v>0.9039124250411987</x:v>
      </x:c>
      <x:c r="F84" s="11" t="str">
        <x:v>tec-financiamiento-exterior::article-18</x:v>
      </x:c>
      <x:c r="G84" s="11" t="str">
        <x:v>No</x:v>
      </x:c>
      <x:c r="H84" s="11" t="str">
        <x:v>Sí</x:v>
      </x:c>
      <x:c r="I84" s="12" t="str">
        <x:v>Reglamento del Fondo de Financiamiento de Actividades en el Exterior para Estudiantes de Diplomado y Bachillerato, Artículo 18</x:v>
      </x:c>
      <x:c r="J84" s="12" t="str">
        <x:v>https://www.tec.ac.cr/reglamento-fondo-financiamiento-actividades-exterior-estudiantes-diplomado-bachillerato</x:v>
      </x:c>
      <x:c r="K84" s="12" t="str">
        <x:v>El beneficiario deberá firmar un contrato donde se estipulen sus derechos y obligaciones.</x:v>
      </x:c>
      <x:c r="L84" s="12" t="str">
        <x:v>tec-financiamiento-exterior::article-18::chunk-001</x:v>
      </x:c>
      <x:c r="M84" s="12" t="str">
        <x:v>tec-financiamiento-exterior</x:v>
      </x:c>
    </x:row>
    <x:row r="85" ht="92" customHeight="1">
      <x:c r="A85" s="11" t="str">
        <x:v>q017</x:v>
      </x:c>
      <x:c r="B85" s="11" t="str">
        <x:v>direct</x:v>
      </x:c>
      <x:c r="C85" s="11" t="str">
        <x:v>F4</x:v>
      </x:c>
      <x:c r="D85" s="11" t="n">
        <x:v>4</x:v>
      </x:c>
      <x:c r="E85" s="14" t="n">
        <x:v>0.9038400650024414</x:v>
      </x:c>
      <x:c r="F85" s="11" t="str">
        <x:v>tec-financiamiento-exterior::article-1</x:v>
      </x:c>
      <x:c r="G85" s="11" t="str">
        <x:v>No</x:v>
      </x:c>
      <x:c r="H85" s="11" t="str">
        <x:v>Sí</x:v>
      </x:c>
      <x:c r="I85" s="12" t="str">
        <x:v>Reglamento del Fondo de Financiamiento de Actividades en el Exterior para Estudiantes de Diplomado y Bachillerato, Artículo 1</x:v>
      </x:c>
      <x:c r="J85" s="12" t="str">
        <x:v>https://www.tec.ac.cr/reglamento-fondo-financiamiento-actividades-exterior-estudiantes-diplomado-bachillerato</x:v>
      </x:c>
      <x:c r="K85" s="12" t="str">
        <x:v>El presente Reglamento regula la administración del Fondo de Financiamiento de Actividades en el Exterior para Estudiantes de Diplomado y Bachillerato.</x:v>
      </x:c>
      <x:c r="L85" s="12" t="str">
        <x:v>tec-financiamiento-exterior::article-1::chunk-001</x:v>
      </x:c>
      <x:c r="M85" s="12" t="str">
        <x:v>tec-financiamiento-exterior</x:v>
      </x:c>
    </x:row>
    <x:row r="86" ht="92" customHeight="1">
      <x:c r="A86" s="11" t="str">
        <x:v>q017</x:v>
      </x:c>
      <x:c r="B86" s="11" t="str">
        <x:v>direct</x:v>
      </x:c>
      <x:c r="C86" s="11" t="str">
        <x:v>F5</x:v>
      </x:c>
      <x:c r="D86" s="11" t="n">
        <x:v>5</x:v>
      </x:c>
      <x:c r="E86" s="14" t="n">
        <x:v>0.9033808708190918</x:v>
      </x:c>
      <x:c r="F86" s="11" t="str">
        <x:v>tec-financiamiento-exterior::article-14</x:v>
      </x:c>
      <x:c r="G86" s="11" t="str">
        <x:v>No</x:v>
      </x:c>
      <x:c r="H86" s="11" t="str">
        <x:v>Sí</x:v>
      </x:c>
      <x:c r="I86" s="12" t="str">
        <x:v>Reglamento del Fondo de Financiamiento de Actividades en el Exterior para Estudiantes de Diplomado y Bachillerato, Artículo 14</x:v>
      </x:c>
      <x:c r="J86" s="12" t="str">
        <x:v>https://www.tec.ac.cr/reglamento-fondo-financiamiento-actividades-exterior-estudiantes-diplomado-bachillerato</x:v>
      </x:c>
      <x:c r="K86" s="12" t="str">
        <x:v>El evento deberá propiciar el intercambio de experiencias o la adquisición de conocimientos en las áreas mencionadas.</x:v>
      </x:c>
      <x:c r="L86" s="12" t="str">
        <x:v>tec-financiamiento-exterior::article-14::chunk-001</x:v>
      </x:c>
      <x:c r="M86" s="12" t="str">
        <x:v>tec-financiamiento-exterior</x:v>
      </x:c>
    </x:row>
    <x:row r="87" ht="92" customHeight="1">
      <x:c r="A87" s="11" t="str">
        <x:v>q018</x:v>
      </x:c>
      <x:c r="B87" s="11" t="str">
        <x:v>direct</x:v>
      </x:c>
      <x:c r="C87" s="11" t="str">
        <x:v>F1</x:v>
      </x:c>
      <x:c r="D87" s="11" t="n">
        <x:v>1</x:v>
      </x:c>
      <x:c r="E87" s="14" t="n">
        <x:v>0.8866173028945923</x:v>
      </x:c>
      <x:c r="F87" s="11" t="str">
        <x:v>tec-beca-mauricio-campos::article-1</x:v>
      </x:c>
      <x:c r="G87" s="11" t="str">
        <x:v>Sí</x:v>
      </x:c>
      <x:c r="H87" s="11" t="str">
        <x:v>Sí</x:v>
      </x:c>
      <x:c r="I87" s="12" t="str">
        <x:v>Reglamento del Fundamento Humanístico de la Beca Mauricio Campos del Instituto Tecnológico de Costa Rica, Artículo 1</x:v>
      </x:c>
      <x:c r="J87" s="12" t="str">
        <x:v>https://www.tec.ac.cr/reglamento-fundamento-humanistico-beca-mauricio-campos-instituto-tecnologico-costa-rica</x:v>
      </x:c>
      <x:c r="K87" s="12" t="str">
        <x:v>La Beca Mauricio Campos es el beneficio que se otorga al(a la) estudiante a través de la asignación de un monto mensual que le permita cubrir los gastos de alojamiento, alimentación, transporte y material didáctico, además se le exonera del pago de los créditos estudiantiles matriculados.</x:v>
      </x:c>
      <x:c r="L87" s="12" t="str">
        <x:v>tec-beca-mauricio-campos::article-1::chunk-001</x:v>
      </x:c>
      <x:c r="M87" s="12" t="str">
        <x:v>tec-beca-mauricio-campos</x:v>
      </x:c>
    </x:row>
    <x:row r="88" ht="92" customHeight="1">
      <x:c r="A88" s="11" t="str">
        <x:v>q018</x:v>
      </x:c>
      <x:c r="B88" s="11" t="str">
        <x:v>direct</x:v>
      </x:c>
      <x:c r="C88" s="11" t="str">
        <x:v>F2</x:v>
      </x:c>
      <x:c r="D88" s="11" t="n">
        <x:v>2</x:v>
      </x:c>
      <x:c r="E88" s="14" t="n">
        <x:v>0.8647173643112183</x:v>
      </x:c>
      <x:c r="F88" s="11" t="str">
        <x:v>tec-beca-mauricio-campos::article-15</x:v>
      </x:c>
      <x:c r="G88" s="11" t="str">
        <x:v>No</x:v>
      </x:c>
      <x:c r="H88" s="11" t="str">
        <x:v>No</x:v>
      </x:c>
      <x:c r="I88" s="12" t="str">
        <x:v>Reglamento del Fundamento Humanístico de la Beca Mauricio Campos del Instituto Tecnológico de Costa Rica, Artículo 15</x:v>
      </x:c>
      <x:c r="J88" s="12" t="str">
        <x:v>https://www.tec.ac.cr/reglamento-fundamento-humanistico-beca-mauricio-campos-instituto-tecnologico-costa-rica</x:v>
      </x:c>
      <x:c r="K88" s="12" t="str">
        <x:v>La Beca Mauricio Campos otorgará al(la) estudiante becado(a) por una única vez el “derecho a concesión”, entendiendo por ésta la no suspensión de la beca en el período lectivo en que el(la) estudiante no haya podido rendir con los requisitos académicos que rigen para mantener la beca.</x:v>
      </x:c>
      <x:c r="L88" s="12" t="str">
        <x:v>tec-beca-mauricio-campos::article-15::chunk-001</x:v>
      </x:c>
      <x:c r="M88" s="12" t="str">
        <x:v>tec-beca-mauricio-campos</x:v>
      </x:c>
    </x:row>
    <x:row r="89" ht="92" customHeight="1">
      <x:c r="A89" s="11" t="str">
        <x:v>q018</x:v>
      </x:c>
      <x:c r="B89" s="11" t="str">
        <x:v>direct</x:v>
      </x:c>
      <x:c r="C89" s="11" t="str">
        <x:v>F3</x:v>
      </x:c>
      <x:c r="D89" s="11" t="n">
        <x:v>3</x:v>
      </x:c>
      <x:c r="E89" s="14" t="n">
        <x:v>0.8630646467208862</x:v>
      </x:c>
      <x:c r="F89" s="11" t="str">
        <x:v>tec-beca-mauricio-campos::article-3</x:v>
      </x:c>
      <x:c r="G89" s="11" t="str">
        <x:v>No</x:v>
      </x:c>
      <x:c r="H89" s="11" t="str">
        <x:v>No</x:v>
      </x:c>
      <x:c r="I89" s="12" t="str">
        <x:v>Reglamento del Fundamento Humanístico de la Beca Mauricio Campos del Instituto Tecnológico de Costa Rica, Artículo 3</x:v>
      </x:c>
      <x:c r="J89" s="12" t="str">
        <x:v>https://www.tec.ac.cr/reglamento-fundamento-humanistico-beca-mauricio-campos-instituto-tecnologico-costa-rica</x:v>
      </x:c>
      <x:c r="K89" s="12" t="str">
        <x:v>La Beca Mauricio Campos, consiste en una beca total para estudiantes regulares nacionales o extranjeros(as), con una condición socioeconómica muy limitada.</x:v>
      </x:c>
      <x:c r="L89" s="12" t="str">
        <x:v>tec-beca-mauricio-campos::article-3::chunk-001</x:v>
      </x:c>
      <x:c r="M89" s="12" t="str">
        <x:v>tec-beca-mauricio-campos</x:v>
      </x:c>
    </x:row>
    <x:row r="90" ht="92" customHeight="1">
      <x:c r="A90" s="11" t="str">
        <x:v>q018</x:v>
      </x:c>
      <x:c r="B90" s="11" t="str">
        <x:v>direct</x:v>
      </x:c>
      <x:c r="C90" s="11" t="str">
        <x:v>F4</x:v>
      </x:c>
      <x:c r="D90" s="11" t="n">
        <x:v>4</x:v>
      </x:c>
      <x:c r="E90" s="14" t="n">
        <x:v>0.8572174310684204</x:v>
      </x:c>
      <x:c r="F90" s="11" t="str">
        <x:v>tec-becas-prestamos::article-22</x:v>
      </x:c>
      <x:c r="G90" s="11" t="str">
        <x:v>No</x:v>
      </x:c>
      <x:c r="H90" s="11" t="str">
        <x:v>Sí</x:v>
      </x:c>
      <x:c r="I90" s="12" t="str">
        <x:v>Reglamento de Becas y Préstamos Estudiantiles del Instituto Tecnológico de Costa Rica y sus Reformas, Artículo 22</x:v>
      </x:c>
      <x:c r="J90" s="12" t="str">
        <x:v>https://www.tec.ac.cr/reglamento-becas-prestamos-estudiantiles-instituto-tecnologico-costa-rica-sus-reformas</x:v>
      </x:c>
      <x:c r="K90" s="12" t="str">
        <x:v>Dentro de las becas totales se encuentran: Becas totales con asistencia económica La condición socioeconómica del estudiante para la adjudicación de la beca y el monto por asignar, será evaluada mediante un índice socioeconómico, entrevista personal, documentos probatorios de su condición sociofamiliar y visita domiciliaria si fuera necesario. Se identifica la siguiente: Beca Mauricio Campos La Beca Mauricio Campos, consiste en una beca que cubre la totalidad de los derechos de estudio y hasta el 100 % de los otros costos de estudio. Se otorga a estudiantes regulares nacionales o extranjeros, con una condición socioeconómica limitada.</x:v>
      </x:c>
      <x:c r="L90" s="12" t="str">
        <x:v>tec-becas-prestamos::article-22::chunk-001</x:v>
      </x:c>
      <x:c r="M90" s="12" t="str">
        <x:v>tec-becas-prestamos</x:v>
      </x:c>
    </x:row>
    <x:row r="91" ht="92" customHeight="1">
      <x:c r="A91" s="11" t="str">
        <x:v>q018</x:v>
      </x:c>
      <x:c r="B91" s="11" t="str">
        <x:v>direct</x:v>
      </x:c>
      <x:c r="C91" s="11" t="str">
        <x:v>F5</x:v>
      </x:c>
      <x:c r="D91" s="11" t="n">
        <x:v>5</x:v>
      </x:c>
      <x:c r="E91" s="14" t="n">
        <x:v>0.8461940288543701</x:v>
      </x:c>
      <x:c r="F91" s="11" t="str">
        <x:v>tec-becas-prestamos::article-26</x:v>
      </x:c>
      <x:c r="G91" s="11" t="str">
        <x:v>No</x:v>
      </x:c>
      <x:c r="H91" s="11" t="str">
        <x:v>No</x:v>
      </x:c>
      <x:c r="I91" s="12" t="str">
        <x:v>Reglamento de Becas y Préstamos Estudiantiles del Instituto Tecnológico de Costa Rica y sus Reformas, Artículo 26</x:v>
      </x:c>
      <x:c r="J91" s="12" t="str">
        <x:v>https://www.tec.ac.cr/reglamento-becas-prestamos-estudiantiles-instituto-tecnologico-costa-rica-sus-reformas</x:v>
      </x:c>
      <x:c r="K91" s="12" t="str">
        <x:v>La Institución ofrecerá atención prioritaria a las y los estudiantes con Beca Mauricio Campos, por medio de sus servicios y según lo requieran para su desempeño y formación integral.</x:v>
      </x:c>
      <x:c r="L91" s="12" t="str">
        <x:v>tec-becas-prestamos::article-26::chunk-001</x:v>
      </x:c>
      <x:c r="M91" s="12" t="str">
        <x:v>tec-becas-prestamos</x:v>
      </x:c>
    </x:row>
    <x:row r="92" ht="92" customHeight="1">
      <x:c r="A92" s="11" t="str">
        <x:v>q019</x:v>
      </x:c>
      <x:c r="B92" s="11" t="str">
        <x:v>direct</x:v>
      </x:c>
      <x:c r="C92" s="11" t="str">
        <x:v>F1</x:v>
      </x:c>
      <x:c r="D92" s="11" t="n">
        <x:v>1</x:v>
      </x:c>
      <x:c r="E92" s="14" t="n">
        <x:v>0.9151748418807983</x:v>
      </x:c>
      <x:c r="F92" s="11" t="str">
        <x:v>tec-codigo-electoral-estudiantil::article-11</x:v>
      </x:c>
      <x:c r="G92" s="11" t="str">
        <x:v>Sí</x:v>
      </x:c>
      <x:c r="H92" s="11" t="str">
        <x:v>Sí</x:v>
      </x:c>
      <x:c r="I92" s="12" t="str">
        <x:v>Código Electoral Estudiantil del Tecnológico de Costa Rica, Artículo 11</x:v>
      </x:c>
      <x:c r="J92" s="12" t="str">
        <x:v>https://www.tec.ac.cr/codigo-electoral-estudiantil-tecnologico-costa-rica</x:v>
      </x:c>
      <x:c r="K92" s="12" t="str">
        <x:v>El proceso electoral se realizará según el calendario efectuado por el Tribunal Electoral Estudiantil una vez aprobado por el Plenario de Asociaciones de Estudiantes. La declaratoria oficial del proceso electoral deberá darse a más tardar la última semana de abril.</x:v>
      </x:c>
      <x:c r="L92" s="12" t="str">
        <x:v>tec-codigo-electoral-estudiantil::article-11::chunk-001</x:v>
      </x:c>
      <x:c r="M92" s="12" t="str">
        <x:v>tec-codigo-electoral-estudiantil</x:v>
      </x:c>
    </x:row>
    <x:row r="93" ht="92" customHeight="1">
      <x:c r="A93" s="11" t="str">
        <x:v>q019</x:v>
      </x:c>
      <x:c r="B93" s="11" t="str">
        <x:v>direct</x:v>
      </x:c>
      <x:c r="C93" s="11" t="str">
        <x:v>F2</x:v>
      </x:c>
      <x:c r="D93" s="11" t="n">
        <x:v>2</x:v>
      </x:c>
      <x:c r="E93" s="14" t="n">
        <x:v>0.897556483745575</x:v>
      </x:c>
      <x:c r="F93" s="11" t="str">
        <x:v>tec-codigo-electoral-estudiantil::article-47</x:v>
      </x:c>
      <x:c r="G93" s="11" t="str">
        <x:v>No</x:v>
      </x:c>
      <x:c r="H93" s="11" t="str">
        <x:v>No</x:v>
      </x:c>
      <x:c r="I93" s="12" t="str">
        <x:v>Código Electoral Estudiantil del Tecnológico de Costa Rica, Artículo 47</x:v>
      </x:c>
      <x:c r="J93" s="12" t="str">
        <x:v>https://www.tec.ac.cr/codigo-electoral-estudiantil-tecnologico-costa-rica</x:v>
      </x:c>
      <x:c r="K93" s="12" t="str">
        <x:v>Solamente el Tribunal Electoral Estudiantil de la FEITEC, estará en facultad de dar la declaratoria de elección incierta. En caso de que la Asociación de Estudiantes cuente con un Tribunal Electoral Interno, este deberá remitir los documentos pertinentes a fin de que el TEE otorgue dicha declaración.</x:v>
      </x:c>
      <x:c r="L93" s="12" t="str">
        <x:v>tec-codigo-electoral-estudiantil::article-47::chunk-001</x:v>
      </x:c>
      <x:c r="M93" s="12" t="str">
        <x:v>tec-codigo-electoral-estudiantil</x:v>
      </x:c>
    </x:row>
    <x:row r="94" ht="92" customHeight="1">
      <x:c r="A94" s="11" t="str">
        <x:v>q019</x:v>
      </x:c>
      <x:c r="B94" s="11" t="str">
        <x:v>direct</x:v>
      </x:c>
      <x:c r="C94" s="11" t="str">
        <x:v>F3</x:v>
      </x:c>
      <x:c r="D94" s="11" t="n">
        <x:v>3</x:v>
      </x:c>
      <x:c r="E94" s="14" t="n">
        <x:v>0.8886117935180664</x:v>
      </x:c>
      <x:c r="F94" s="11" t="str">
        <x:v>tec-tercer-representante-estudiantil::article-21</x:v>
      </x:c>
      <x:c r="G94" s="11" t="str">
        <x:v>No</x:v>
      </x:c>
      <x:c r="H94" s="11" t="str">
        <x:v>No</x:v>
      </x:c>
      <x:c r="I94" s="12" t="str">
        <x:v>Reglamento para la Elección del Tercer Representante y Tercer Suplente Estudiantil ante el Consejo Institucional, ARTÍCULO 21</x:v>
      </x:c>
      <x:c r="J94" s="12" t="str">
        <x:v>https://www.tec.ac.cr/reglamento-eleccion-tercer-representante-tercer-suplente-estudiantil-consejo-institucional</x:v>
      </x:c>
      <x:c r="K94" s="12" t="str">
        <x:v>El Tribunal Electoral Estudiantil, dará la declaratoria provisional el mismo día que se realizó la elección. Mientras tanto la declaratoria oficial se deberá exponer a más tardar 3 días después de realizada la elección. El periodo de apelación inicia una vez publicada la declaratoria provisional y finaliza 48 horas después. El candidato electo iniciará funciones el 01 de enero del año siguiente de la elección y finalizará el 31 de diciembre del mismo año.</x:v>
      </x:c>
      <x:c r="L94" s="12" t="str">
        <x:v>tec-tercer-representante-estudiantil::article-21::chunk-001</x:v>
      </x:c>
      <x:c r="M94" s="12" t="str">
        <x:v>tec-tercer-representante-estudiantil</x:v>
      </x:c>
    </x:row>
    <x:row r="95" ht="92" customHeight="1">
      <x:c r="A95" s="11" t="str">
        <x:v>q019</x:v>
      </x:c>
      <x:c r="B95" s="11" t="str">
        <x:v>direct</x:v>
      </x:c>
      <x:c r="C95" s="11" t="str">
        <x:v>F4</x:v>
      </x:c>
      <x:c r="D95" s="11" t="n">
        <x:v>4</x:v>
      </x:c>
      <x:c r="E95" s="14" t="n">
        <x:v>0.8873144388198853</x:v>
      </x:c>
      <x:c r="F95" s="11" t="str">
        <x:v>tec-codigo-electoral-estudiantil::article-24</x:v>
      </x:c>
      <x:c r="G95" s="11" t="str">
        <x:v>No</x:v>
      </x:c>
      <x:c r="H95" s="11" t="str">
        <x:v>No</x:v>
      </x:c>
      <x:c r="I95" s="12" t="str">
        <x:v>Código Electoral Estudiantil del Tecnológico de Costa Rica, Artículo 24</x:v>
      </x:c>
      <x:c r="J95" s="12" t="str">
        <x:v>https://www.tec.ac.cr/codigo-electoral-estudiantil-tecnologico-costa-rica</x:v>
      </x:c>
      <x:c r="K95" s="12" t="str">
        <x:v>Todos los miembros del Consejo Ejecutivo de la FEITEC serán electos hasta vencer su período, pudiendo ser reelectos hasta un máximo de dos años consecutivos.</x:v>
      </x:c>
      <x:c r="L95" s="12" t="str">
        <x:v>tec-codigo-electoral-estudiantil::article-24::chunk-001</x:v>
      </x:c>
      <x:c r="M95" s="12" t="str">
        <x:v>tec-codigo-electoral-estudiantil</x:v>
      </x:c>
    </x:row>
    <x:row r="96" ht="92" customHeight="1">
      <x:c r="A96" s="11" t="str">
        <x:v>q019</x:v>
      </x:c>
      <x:c r="B96" s="11" t="str">
        <x:v>direct</x:v>
      </x:c>
      <x:c r="C96" s="11" t="str">
        <x:v>F5</x:v>
      </x:c>
      <x:c r="D96" s="11" t="n">
        <x:v>5</x:v>
      </x:c>
      <x:c r="E96" s="14" t="n">
        <x:v>0.8871050477027893</x:v>
      </x:c>
      <x:c r="F96" s="11" t="str">
        <x:v>tec-tercer-representante-estudiantil::article-15</x:v>
      </x:c>
      <x:c r="G96" s="11" t="str">
        <x:v>No</x:v>
      </x:c>
      <x:c r="H96" s="11" t="str">
        <x:v>No</x:v>
      </x:c>
      <x:c r="I96" s="12" t="str">
        <x:v>Reglamento para la Elección del Tercer Representante y Tercer Suplente Estudiantil ante el Consejo Institucional, ARTÍCULO 15</x:v>
      </x:c>
      <x:c r="J96" s="12" t="str">
        <x:v>https://www.tec.ac.cr/reglamento-eleccion-tercer-representante-tercer-suplente-estudiantil-consejo-institucional</x:v>
      </x:c>
      <x:c r="K96" s="12" t="str">
        <x:v>Quien desee ser candidato, deberá presentar al Tribunal Electoral Estudiantil los siguientes documentos los cuales se pueden consultar en el Manual de Procedimientos Electorales del Tribunal Electoral Estudiantil de la FEITEC y presentar como en este Manual se indique: 1. Nombre completo, número de carné, número de cedula, número telefónico, correo electrónico, carrera y firma. 2. Una declaración jurada de no parentesco por afinidad ó consanguinidad hasta tercer grado con el Rector,Vicerrectores y miembros del Consejo Institucional. 3. Constancia del Departamento de Recursos Humanos en la cual se consigne que no desempeña puestosdocentes o administrativos en el TEC. 4. Comprobante emitido por la Junta Directiva de Carrera, donde se afirme que no ha sido sancionado. 5. Dos fotografías tamaño pasaporte. 6. Además, deberá adjuntar: Fotocopia de Cédula, Carné e informe de matrícula del semestre en curso.</x:v>
      </x:c>
      <x:c r="L96" s="12" t="str">
        <x:v>tec-tercer-representante-estudiantil::article-15::chunk-001</x:v>
      </x:c>
      <x:c r="M96" s="12" t="str">
        <x:v>tec-tercer-representante-estudiantil</x:v>
      </x:c>
    </x:row>
    <x:row r="97" ht="92" customHeight="1">
      <x:c r="A97" s="11" t="str">
        <x:v>q020</x:v>
      </x:c>
      <x:c r="B97" s="11" t="str">
        <x:v>direct</x:v>
      </x:c>
      <x:c r="C97" s="11" t="str">
        <x:v>F1</x:v>
      </x:c>
      <x:c r="D97" s="11" t="n">
        <x:v>1</x:v>
      </x:c>
      <x:c r="E97" s="14" t="n">
        <x:v>0.9357726573944092</x:v>
      </x:c>
      <x:c r="F97" s="11" t="str">
        <x:v>tec-reglamento-superior-feitec::article-27</x:v>
      </x:c>
      <x:c r="G97" s="11" t="str">
        <x:v>Sí</x:v>
      </x:c>
      <x:c r="H97" s="11" t="str">
        <x:v>Sí</x:v>
      </x:c>
      <x:c r="I97" s="12" t="str">
        <x:v>Reglamento Superior de la Federación de Estudiantes del Instituto Tecnológico de Costa Rica, ARTÍCULO 27</x:v>
      </x:c>
      <x:c r="J97" s="12" t="str">
        <x:v>https://www.tec.ac.cr/reglamento-superior-federacion-estudiantes-instituto-tecnologico-costa-rica</x:v>
      </x:c>
      <x:c r="K97" s="12" t="str">
        <x:v>El Plenario de Movimiento de Estudiantil sesionará ordinariamente la última semana de cada mes y extraordinariamente cuando así lo requiera. Para convocar a sesión ordinaria, el DAE deberá enviar la convocatoria con al menos siete días naturales de anticipación. Para convocar a sesión extraordinaria, el DAE deberá enviar la convocatoria con al menos tres días naturales de anticipación.</x:v>
      </x:c>
      <x:c r="L97" s="12" t="str">
        <x:v>tec-reglamento-superior-feitec::article-27::chunk-001</x:v>
      </x:c>
      <x:c r="M97" s="12" t="str">
        <x:v>tec-reglamento-superior-feitec</x:v>
      </x:c>
    </x:row>
    <x:row r="98" ht="92" customHeight="1">
      <x:c r="A98" s="11" t="str">
        <x:v>q020</x:v>
      </x:c>
      <x:c r="B98" s="11" t="str">
        <x:v>direct</x:v>
      </x:c>
      <x:c r="C98" s="11" t="str">
        <x:v>F2</x:v>
      </x:c>
      <x:c r="D98" s="11" t="n">
        <x:v>2</x:v>
      </x:c>
      <x:c r="E98" s="14" t="n">
        <x:v>0.9169219136238098</x:v>
      </x:c>
      <x:c r="F98" s="11" t="str">
        <x:v>tec-directorio-asambleas-estudiantiles::article-58</x:v>
      </x:c>
      <x:c r="G98" s="11" t="str">
        <x:v>No</x:v>
      </x:c>
      <x:c r="H98" s="11" t="str">
        <x:v>No</x:v>
      </x:c>
      <x:c r="I98" s="12" t="str">
        <x:v>Reglamento del Directorio de Asambleas Estudiantiles, Plenario de Asociaciones y Asamblea General de Estudiantes, Artículo 58: Sesiones del PAE.</x:v>
      </x:c>
      <x:c r="J98" s="12" t="str">
        <x:v>https://www.tec.ac.cr/reglamento-directorio-asambleas-estudiantiles-plenario-asociaciones-asamblea-general-estudiantes</x:v>
      </x:c>
      <x:c r="K98" s="12" t="str">
        <x:v>El PAE sesionará ordinariamente la última semana de cada mes; para convocar a la sesión ordinaria el DAE deberá enviar la convocatoria con al menos siete días naturales de anticipación. Además, el PAE sesionará extraordinariamente cuando así lo solicite algún órgano de la Federación, para esto el DAE contará con diez días hábiles para celebrar la sesión del Plenario y su convocatoria se deberá enviar con al menos tres días naturales de anticipación.</x:v>
      </x:c>
      <x:c r="L98" s="12" t="str">
        <x:v>tec-directorio-asambleas-estudiantiles::article-58::chunk-001</x:v>
      </x:c>
      <x:c r="M98" s="12" t="str">
        <x:v>tec-directorio-asambleas-estudiantiles</x:v>
      </x:c>
    </x:row>
    <x:row r="99" ht="92" customHeight="1">
      <x:c r="A99" s="11" t="str">
        <x:v>q020</x:v>
      </x:c>
      <x:c r="B99" s="11" t="str">
        <x:v>direct</x:v>
      </x:c>
      <x:c r="C99" s="11" t="str">
        <x:v>F3</x:v>
      </x:c>
      <x:c r="D99" s="11" t="n">
        <x:v>3</x:v>
      </x:c>
      <x:c r="E99" s="14" t="n">
        <x:v>0.9095419645309448</x:v>
      </x:c>
      <x:c r="F99" s="11" t="str">
        <x:v>tec-directorio-asambleas-estudiantiles::article-19</x:v>
      </x:c>
      <x:c r="G99" s="11" t="str">
        <x:v>No</x:v>
      </x:c>
      <x:c r="H99" s="11" t="str">
        <x:v>No</x:v>
      </x:c>
      <x:c r="I99" s="12" t="str">
        <x:v>Reglamento del Directorio de Asambleas Estudiantiles, Plenario de Asociaciones y Asamblea General de Estudiantes, Artículo 19: Sesiones del DAE.</x:v>
      </x:c>
      <x:c r="J99" s="12" t="str">
        <x:v>https://www.tec.ac.cr/reglamento-directorio-asambleas-estudiantiles-plenario-asociaciones-asamblea-general-estudiantes</x:v>
      </x:c>
      <x:c r="K99" s="12" t="str">
        <x:v>El Directorio de Asambleas Estudiantiles sesionará cada quince días de manera ordinaria, en donde se deberá enviar la convocatoria de manera oficial con al menos 5 días naturales de anticipación y en el caso de las sesiones extraordinarias la convocatoria deberá ser enviada 24 horas antes.</x:v>
      </x:c>
      <x:c r="L99" s="12" t="str">
        <x:v>tec-directorio-asambleas-estudiantiles::article-19::chunk-001</x:v>
      </x:c>
      <x:c r="M99" s="12" t="str">
        <x:v>tec-directorio-asambleas-estudiantiles</x:v>
      </x:c>
    </x:row>
    <x:row r="100" ht="92" customHeight="1">
      <x:c r="A100" s="11" t="str">
        <x:v>q020</x:v>
      </x:c>
      <x:c r="B100" s="11" t="str">
        <x:v>direct</x:v>
      </x:c>
      <x:c r="C100" s="11" t="str">
        <x:v>F4</x:v>
      </x:c>
      <x:c r="D100" s="11" t="n">
        <x:v>4</x:v>
      </x:c>
      <x:c r="E100" s="14" t="n">
        <x:v>0.8926309943199158</x:v>
      </x:c>
      <x:c r="F100" s="11" t="str">
        <x:v>tec-directorio-asambleas-estudiantiles::article-66</x:v>
      </x:c>
      <x:c r="G100" s="11" t="str">
        <x:v>No</x:v>
      </x:c>
      <x:c r="H100" s="11" t="str">
        <x:v>No</x:v>
      </x:c>
      <x:c r="I100" s="12" t="str">
        <x:v>Reglamento del Directorio de Asambleas Estudiantiles, Plenario de Asociaciones y Asamblea General de Estudiantes, Artículo 66: Intervención a mociones.</x:v>
      </x:c>
      <x:c r="J100" s="12" t="str">
        <x:v>https://www.tec.ac.cr/reglamento-directorio-asambleas-estudiantiles-plenario-asociaciones-asamblea-general-estudiantes</x:v>
      </x:c>
      <x:c r="K100" s="12" t="str">
        <x:v>Una vez recibida la moción de orden; se abrirá un espacio para una intervención a favor y una intervención en contra de dicha moción, el DAE establecerá el tiempo máximo para dichas intervenciones; luego esta procederá a ser votada por el plenario y se decidirá si es acogida o no. La moción de orden es de acatamiento inmediato.</x:v>
      </x:c>
      <x:c r="L100" s="12" t="str">
        <x:v>tec-directorio-asambleas-estudiantiles::article-66::chunk-001</x:v>
      </x:c>
      <x:c r="M100" s="12" t="str">
        <x:v>tec-directorio-asambleas-estudiantiles</x:v>
      </x:c>
    </x:row>
    <x:row r="101" ht="92" customHeight="1">
      <x:c r="A101" s="11" t="str">
        <x:v>q020</x:v>
      </x:c>
      <x:c r="B101" s="11" t="str">
        <x:v>direct</x:v>
      </x:c>
      <x:c r="C101" s="11" t="str">
        <x:v>F5</x:v>
      </x:c>
      <x:c r="D101" s="11" t="n">
        <x:v>5</x:v>
      </x:c>
      <x:c r="E101" s="14" t="n">
        <x:v>0.8908613920211792</x:v>
      </x:c>
      <x:c r="F101" s="11" t="str">
        <x:v>tec-directorio-asambleas-estudiantiles::article-31</x:v>
      </x:c>
      <x:c r="G101" s="11" t="str">
        <x:v>No</x:v>
      </x:c>
      <x:c r="H101" s="11" t="str">
        <x:v>No</x:v>
      </x:c>
      <x:c r="I101" s="12" t="str">
        <x:v>Reglamento del Directorio de Asambleas Estudiantiles, Plenario de Asociaciones y Asamblea General de Estudiantes, Artículo 31. Fechas de realización del AGE.</x:v>
      </x:c>
      <x:c r="J101" s="12" t="str">
        <x:v>https://www.tec.ac.cr/reglamento-directorio-asambleas-estudiantiles-plenario-asociaciones-asamblea-general-estudiantes</x:v>
      </x:c>
      <x:c r="K101" s="12" t="str">
        <x:v>La Asamblea General de Estudiantes sesionará de manera ordinaria dos veces al año, la primera deberá ser durante el mes de marzo y la segunda deberá ser en el mes de octubre. Para convocar a sesión ordinaria el Directorio de Asambleas Estudiantiles deberá realizar la convocatoria con al menos siete días naturales de anticipación. Además, la Asamblea General de Estudiantes sesionará extraordinariamente cuando así lo solicite otro órgano de la Federación o el Plenario de Asociaciones Estudiantiles. Para convocar a sesión extraordinaria el Directorio de Asamblea Estudiantiles contará con treinta días naturales para que se celebre la sesión y deberá enviar la convocatoria con al menos cinco días naturales de anticipación.</x:v>
      </x:c>
      <x:c r="L101" s="12" t="str">
        <x:v>tec-directorio-asambleas-estudiantiles::article-31::chunk-001</x:v>
      </x:c>
      <x:c r="M101" s="12" t="str">
        <x:v>tec-directorio-asambleas-estudiantiles</x:v>
      </x:c>
    </x:row>
    <x:row r="102" ht="92" customHeight="1">
      <x:c r="A102" s="11" t="str">
        <x:v>q021</x:v>
      </x:c>
      <x:c r="B102" s="11" t="str">
        <x:v>direct</x:v>
      </x:c>
      <x:c r="C102" s="11" t="str">
        <x:v>F1</x:v>
      </x:c>
      <x:c r="D102" s="11" t="n">
        <x:v>1</x:v>
      </x:c>
      <x:c r="E102" s="14" t="n">
        <x:v>0.9315873384475708</x:v>
      </x:c>
      <x:c r="F102" s="11" t="str">
        <x:v>tec-directorio-asambleas-estudiantiles::article-19</x:v>
      </x:c>
      <x:c r="G102" s="11" t="str">
        <x:v>Sí</x:v>
      </x:c>
      <x:c r="H102" s="11" t="str">
        <x:v>Sí</x:v>
      </x:c>
      <x:c r="I102" s="12" t="str">
        <x:v>Reglamento del Directorio de Asambleas Estudiantiles, Plenario de Asociaciones y Asamblea General de Estudiantes, Artículo 19: Sesiones del DAE.</x:v>
      </x:c>
      <x:c r="J102" s="12" t="str">
        <x:v>https://www.tec.ac.cr/reglamento-directorio-asambleas-estudiantiles-plenario-asociaciones-asamblea-general-estudiantes</x:v>
      </x:c>
      <x:c r="K102" s="12" t="str">
        <x:v>El Directorio de Asambleas Estudiantiles sesionará cada quince días de manera ordinaria, en donde se deberá enviar la convocatoria de manera oficial con al menos 5 días naturales de anticipación y en el caso de las sesiones extraordinarias la convocatoria deberá ser enviada 24 horas antes.</x:v>
      </x:c>
      <x:c r="L102" s="12" t="str">
        <x:v>tec-directorio-asambleas-estudiantiles::article-19::chunk-001</x:v>
      </x:c>
      <x:c r="M102" s="12" t="str">
        <x:v>tec-directorio-asambleas-estudiantiles</x:v>
      </x:c>
    </x:row>
    <x:row r="103" ht="92" customHeight="1">
      <x:c r="A103" s="11" t="str">
        <x:v>q021</x:v>
      </x:c>
      <x:c r="B103" s="11" t="str">
        <x:v>direct</x:v>
      </x:c>
      <x:c r="C103" s="11" t="str">
        <x:v>F2</x:v>
      </x:c>
      <x:c r="D103" s="11" t="n">
        <x:v>2</x:v>
      </x:c>
      <x:c r="E103" s="14" t="n">
        <x:v>0.9241011142730713</x:v>
      </x:c>
      <x:c r="F103" s="11" t="str">
        <x:v>tec-directorio-asambleas-estudiantiles::article-31</x:v>
      </x:c>
      <x:c r="G103" s="11" t="str">
        <x:v>No</x:v>
      </x:c>
      <x:c r="H103" s="11" t="str">
        <x:v>No</x:v>
      </x:c>
      <x:c r="I103" s="12" t="str">
        <x:v>Reglamento del Directorio de Asambleas Estudiantiles, Plenario de Asociaciones y Asamblea General de Estudiantes, Artículo 31. Fechas de realización del AGE.</x:v>
      </x:c>
      <x:c r="J103" s="12" t="str">
        <x:v>https://www.tec.ac.cr/reglamento-directorio-asambleas-estudiantiles-plenario-asociaciones-asamblea-general-estudiantes</x:v>
      </x:c>
      <x:c r="K103" s="12" t="str">
        <x:v>La Asamblea General de Estudiantes sesionará de manera ordinaria dos veces al año, la primera deberá ser durante el mes de marzo y la segunda deberá ser en el mes de octubre. Para convocar a sesión ordinaria el Directorio de Asambleas Estudiantiles deberá realizar la convocatoria con al menos siete días naturales de anticipación. Además, la Asamblea General de Estudiantes sesionará extraordinariamente cuando así lo solicite otro órgano de la Federación o el Plenario de Asociaciones Estudiantiles. Para convocar a sesión extraordinaria el Directorio de Asamblea Estudiantiles contará con treinta días naturales para que se celebre la sesión y deberá enviar la convocatoria con al menos cinco días naturales de anticipación.</x:v>
      </x:c>
      <x:c r="L103" s="12" t="str">
        <x:v>tec-directorio-asambleas-estudiantiles::article-31::chunk-001</x:v>
      </x:c>
      <x:c r="M103" s="12" t="str">
        <x:v>tec-directorio-asambleas-estudiantiles</x:v>
      </x:c>
    </x:row>
    <x:row r="104" ht="92" customHeight="1">
      <x:c r="A104" s="11" t="str">
        <x:v>q021</x:v>
      </x:c>
      <x:c r="B104" s="11" t="str">
        <x:v>direct</x:v>
      </x:c>
      <x:c r="C104" s="11" t="str">
        <x:v>F3</x:v>
      </x:c>
      <x:c r="D104" s="11" t="n">
        <x:v>3</x:v>
      </x:c>
      <x:c r="E104" s="14" t="n">
        <x:v>0.9047107696533203</x:v>
      </x:c>
      <x:c r="F104" s="11" t="str">
        <x:v>tec-directorio-asambleas-estudiantiles::article-58</x:v>
      </x:c>
      <x:c r="G104" s="11" t="str">
        <x:v>No</x:v>
      </x:c>
      <x:c r="H104" s="11" t="str">
        <x:v>No</x:v>
      </x:c>
      <x:c r="I104" s="12" t="str">
        <x:v>Reglamento del Directorio de Asambleas Estudiantiles, Plenario de Asociaciones y Asamblea General de Estudiantes, Artículo 58: Sesiones del PAE.</x:v>
      </x:c>
      <x:c r="J104" s="12" t="str">
        <x:v>https://www.tec.ac.cr/reglamento-directorio-asambleas-estudiantiles-plenario-asociaciones-asamblea-general-estudiantes</x:v>
      </x:c>
      <x:c r="K104" s="12" t="str">
        <x:v>El PAE sesionará ordinariamente la última semana de cada mes; para convocar a la sesión ordinaria el DAE deberá enviar la convocatoria con al menos siete días naturales de anticipación. Además, el PAE sesionará extraordinariamente cuando así lo solicite algún órgano de la Federación, para esto el DAE contará con diez días hábiles para celebrar la sesión del Plenario y su convocatoria se deberá enviar con al menos tres días naturales de anticipación.</x:v>
      </x:c>
      <x:c r="L104" s="12" t="str">
        <x:v>tec-directorio-asambleas-estudiantiles::article-58::chunk-001</x:v>
      </x:c>
      <x:c r="M104" s="12" t="str">
        <x:v>tec-directorio-asambleas-estudiantiles</x:v>
      </x:c>
    </x:row>
    <x:row r="105" ht="92" customHeight="1">
      <x:c r="A105" s="11" t="str">
        <x:v>q021</x:v>
      </x:c>
      <x:c r="B105" s="11" t="str">
        <x:v>direct</x:v>
      </x:c>
      <x:c r="C105" s="11" t="str">
        <x:v>F4</x:v>
      </x:c>
      <x:c r="D105" s="11" t="n">
        <x:v>4</x:v>
      </x:c>
      <x:c r="E105" s="14" t="n">
        <x:v>0.9046813249588013</x:v>
      </x:c>
      <x:c r="F105" s="11" t="str">
        <x:v>tec-directorio-asambleas-estudiantiles::article-84</x:v>
      </x:c>
      <x:c r="G105" s="11" t="str">
        <x:v>No</x:v>
      </x:c>
      <x:c r="H105" s="11" t="str">
        <x:v>No</x:v>
      </x:c>
      <x:c r="I105" s="12" t="str">
        <x:v>Reglamento del Directorio de Asambleas Estudiantiles, Plenario de Asociaciones y Asamblea General de Estudiantes, Artículo 84: Sesiones de las comisiones.</x:v>
      </x:c>
      <x:c r="J105" s="12" t="str">
        <x:v>https://www.tec.ac.cr/reglamento-directorio-asambleas-estudiantiles-plenario-asociaciones-asamblea-general-estudiantes</x:v>
      </x:c>
      <x:c r="K105" s="12" t="str">
        <x:v>Las comisiones deberán sesionar al menos dos veces al mes. La comisión, por acuerdo de mayoría simple, podrá sesionar un mayor número de veces.</x:v>
      </x:c>
      <x:c r="L105" s="12" t="str">
        <x:v>tec-directorio-asambleas-estudiantiles::article-84::chunk-001</x:v>
      </x:c>
      <x:c r="M105" s="12" t="str">
        <x:v>tec-directorio-asambleas-estudiantiles</x:v>
      </x:c>
    </x:row>
    <x:row r="106" ht="92" customHeight="1">
      <x:c r="A106" s="11" t="str">
        <x:v>q021</x:v>
      </x:c>
      <x:c r="B106" s="11" t="str">
        <x:v>direct</x:v>
      </x:c>
      <x:c r="C106" s="11" t="str">
        <x:v>F5</x:v>
      </x:c>
      <x:c r="D106" s="11" t="n">
        <x:v>5</x:v>
      </x:c>
      <x:c r="E106" s="14" t="n">
        <x:v>0.9008578062057495</x:v>
      </x:c>
      <x:c r="F106" s="11" t="str">
        <x:v>tec-directorio-asambleas-estudiantiles::article-85</x:v>
      </x:c>
      <x:c r="G106" s="11" t="str">
        <x:v>No</x:v>
      </x:c>
      <x:c r="H106" s="11" t="str">
        <x:v>No</x:v>
      </x:c>
      <x:c r="I106" s="12" t="str">
        <x:v>Reglamento del Directorio de Asambleas Estudiantiles, Plenario de Asociaciones y Asamblea General de Estudiantes, Artículo 85: Tiempo para convocar a comisión.</x:v>
      </x:c>
      <x:c r="J106" s="12" t="str">
        <x:v>https://www.tec.ac.cr/reglamento-directorio-asambleas-estudiantiles-plenario-asociaciones-asamblea-general-estudiantes</x:v>
      </x:c>
      <x:c r="K106" s="12" t="str">
        <x:v>La persona coordinadora de la comisión, o en su ausencia, la secretaría, podrá convocar a sesiones. Estas deberán ser en días hábiles y deberán ser convocadas con mínimo veinticuatro horas de anticipación. Para habilitar sesionar en días no hábiles se requerirá acuerdo de dos tercios de sus miembros.</x:v>
      </x:c>
      <x:c r="L106" s="12" t="str">
        <x:v>tec-directorio-asambleas-estudiantiles::article-85::chunk-001</x:v>
      </x:c>
      <x:c r="M106" s="12" t="str">
        <x:v>tec-directorio-asambleas-estudiantiles</x:v>
      </x:c>
    </x:row>
    <x:row r="107" ht="92" customHeight="1">
      <x:c r="A107" s="11" t="str">
        <x:v>q022</x:v>
      </x:c>
      <x:c r="B107" s="11" t="str">
        <x:v>direct</x:v>
      </x:c>
      <x:c r="C107" s="11" t="str">
        <x:v>F1</x:v>
      </x:c>
      <x:c r="D107" s="11" t="n">
        <x:v>1</x:v>
      </x:c>
      <x:c r="E107" s="14" t="n">
        <x:v>0.870000958442688</x:v>
      </x:c>
      <x:c r="F107" s="11" t="str">
        <x:v>tec-correo-electronico::article-24</x:v>
      </x:c>
      <x:c r="G107" s="11" t="str">
        <x:v>No</x:v>
      </x:c>
      <x:c r="H107" s="11" t="str">
        <x:v>No</x:v>
      </x:c>
      <x:c r="I107" s="12" t="str">
        <x:v>Reglamento de uso del correo electrónico del Instituto Tecnológico de Costa Rica, Artículo 24. Del procedimiento de comunicación</x:v>
      </x:c>
      <x:c r="J107" s="12" t="str">
        <x:v>https://www.tec.ac.cr/reglamento-uso-correo-electronico-instituto-tecnologico-costa-rica</x:v>
      </x:c>
      <x:c r="K107" s="12" t="str">
        <x:v>La Rectoría definirá los grupos de correo mediante los que se comunicará a todas las personas que utilicen una cuenta de correo institucional la información relevante de la Institución. La pertenencia a estos grupos es obligatoria para toda cuenta de correo institucional. La información que se envíe a estos grupos tendrá que ser estrictamente oficial de la institución e información que sea de interés para toda la Comunidad Institucional, por lo que el envío de correos a estos grupos será restringido a personas integrantes del Consejo Institucional, autoridades institucionales con el rango de dirección, jefaturas, o bien a las cuentas que la Oficina de Comunicación y Mercadeo (en adelante OCM) autorice. Artículo modificado por el Consejo Institucional mediante la sesión ordinaria n.° 3431, Artículo 15, del 19 de noviembre del 2025. Publicado en Gaceta n.° 1303 del 24 de noviembre del 2025.</x:v>
      </x:c>
      <x:c r="L107" s="12" t="str">
        <x:v>tec-correo-electronico::article-24::chunk-001</x:v>
      </x:c>
      <x:c r="M107" s="12" t="str">
        <x:v>tec-correo-electronico</x:v>
      </x:c>
    </x:row>
    <x:row r="108" ht="92" customHeight="1">
      <x:c r="A108" s="11" t="str">
        <x:v>q022</x:v>
      </x:c>
      <x:c r="B108" s="11" t="str">
        <x:v>direct</x:v>
      </x:c>
      <x:c r="C108" s="11" t="str">
        <x:v>F2</x:v>
      </x:c>
      <x:c r="D108" s="11" t="n">
        <x:v>2</x:v>
      </x:c>
      <x:c r="E108" s="14" t="n">
        <x:v>0.868375301361084</x:v>
      </x:c>
      <x:c r="F108" s="11" t="str">
        <x:v>tec-correo-electronico::article-5</x:v>
      </x:c>
      <x:c r="G108" s="11" t="str">
        <x:v>Sí</x:v>
      </x:c>
      <x:c r="H108" s="11" t="str">
        <x:v>Sí</x:v>
      </x:c>
      <x:c r="I108" s="12" t="str">
        <x:v>Reglamento de uso del correo electrónico del Instituto Tecnológico de Costa Rica, Artículo 5. Mecanismo de comunicación oficial</x:v>
      </x:c>
      <x:c r="J108" s="12" t="str">
        <x:v>https://www.tec.ac.cr/reglamento-uso-correo-electronico-instituto-tecnologico-costa-rica</x:v>
      </x:c>
      <x:c r="K108" s="12" t="str">
        <x:v>Serán oficiales todas las comunicaciones, notificaciones y solicitudes de gestiones realizadas por o ante las autoridades institucionales y otras instancias formales, en el ámbito de su competencia, mediante el uso del correo electrónico institucional como medio oficial y formal de comunicación. Las mismas se darán por recibidas al finalizar el día hábil siguiente a su entrega en el buzón de correo electrónico institucional. Será obligatoria la comunicación electrónica mediante una cuenta de correo institucional, ya sea personal o impersonal, en este último caso, teniendo como intermediaria a la persona que haya sido designada como responsable de esa cuenta. Cuando el correo registrado sea el particular y no el institucional será nula de pleno por carecer de oficialidad. Artículo modificado mediante Sesión del Consejo Institucional, Sesión Ordinaria No. 3404, Artículo 14, del 09 de abril del 2025. Publicado en Gaceta No. 1282, lunes 21 de abril del 2025. Artículo modificado mediante Sesión del Consejo Institucional, Sesión Ordinaria No. 3400, Artículo 11, del 12 de marzo del 2025. Publicado en Gaceta No. 1279, jueves 20 de marzo del 2025.</x:v>
      </x:c>
      <x:c r="L108" s="12" t="str">
        <x:v>tec-correo-electronico::article-5::chunk-001</x:v>
      </x:c>
      <x:c r="M108" s="12" t="str">
        <x:v>tec-correo-electronico</x:v>
      </x:c>
    </x:row>
    <x:row r="109" ht="92" customHeight="1">
      <x:c r="A109" s="11" t="str">
        <x:v>q022</x:v>
      </x:c>
      <x:c r="B109" s="11" t="str">
        <x:v>direct</x:v>
      </x:c>
      <x:c r="C109" s="11" t="str">
        <x:v>F3</x:v>
      </x:c>
      <x:c r="D109" s="11" t="n">
        <x:v>3</x:v>
      </x:c>
      <x:c r="E109" s="14" t="n">
        <x:v>0.864142894744873</x:v>
      </x:c>
      <x:c r="F109" s="11" t="str">
        <x:v>tec-correo-electronico::article-12</x:v>
      </x:c>
      <x:c r="G109" s="11" t="str">
        <x:v>No</x:v>
      </x:c>
      <x:c r="H109" s="11" t="str">
        <x:v>No</x:v>
      </x:c>
      <x:c r="I109" s="12" t="str">
        <x:v>Reglamento de uso del correo electrónico del Instituto Tecnológico de Costa Rica, Artículo 12. Cuentas de correo electrónico personales</x:v>
      </x:c>
      <x:c r="J109" s="12" t="str">
        <x:v>https://www.tec.ac.cr/reglamento-uso-correo-electronico-instituto-tecnologico-costa-rica</x:v>
      </x:c>
      <x:c r="K109" s="12" t="str">
        <x:v>Las cuentas de correo electrónico institucionales se asignarán bajo la responsabilidad directa de la persona funcionaria, estudiante, persona o personal externo. Las cuentas no podrán ser transferidas, compartidas ni delegadas a otras personas. El buen uso de dicha cuenta será completa responsabilidad de la persona que la tenga asignada.</x:v>
      </x:c>
      <x:c r="L109" s="12" t="str">
        <x:v>tec-correo-electronico::article-12::chunk-001</x:v>
      </x:c>
      <x:c r="M109" s="12" t="str">
        <x:v>tec-correo-electronico</x:v>
      </x:c>
    </x:row>
    <x:row r="110" ht="92" customHeight="1">
      <x:c r="A110" s="11" t="str">
        <x:v>q022</x:v>
      </x:c>
      <x:c r="B110" s="11" t="str">
        <x:v>direct</x:v>
      </x:c>
      <x:c r="C110" s="11" t="str">
        <x:v>F4</x:v>
      </x:c>
      <x:c r="D110" s="11" t="n">
        <x:v>4</x:v>
      </x:c>
      <x:c r="E110" s="14" t="n">
        <x:v>0.8621835708618164</x:v>
      </x:c>
      <x:c r="F110" s="11" t="str">
        <x:v>tec-correo-electronico::article-21</x:v>
      </x:c>
      <x:c r="G110" s="11" t="str">
        <x:v>No</x:v>
      </x:c>
      <x:c r="H110" s="11" t="str">
        <x:v>No</x:v>
      </x:c>
      <x:c r="I110" s="12" t="str">
        <x:v>Reglamento de uso del correo electrónico del Instituto Tecnológico de Costa Rica, Artículo 21. Tiempo de retención de la información de una cuenta suspendida</x:v>
      </x:c>
      <x:c r="J110" s="12" t="str">
        <x:v>https://www.tec.ac.cr/reglamento-uso-correo-electronico-instituto-tecnologico-costa-rica</x:v>
      </x:c>
      <x:c r="K110" s="12" t="str">
        <x:v>La información contenida en una cuenta suspendida se mantendrá en la plataforma de correo institucional por un año a partir de la suspensión de la misma, luego de ese plazo, el buzón de la cuenta de correo electrónico será eliminado</x:v>
      </x:c>
      <x:c r="L110" s="12" t="str">
        <x:v>tec-correo-electronico::article-21::chunk-001</x:v>
      </x:c>
      <x:c r="M110" s="12" t="str">
        <x:v>tec-correo-electronico</x:v>
      </x:c>
    </x:row>
    <x:row r="111" ht="92" customHeight="1">
      <x:c r="A111" s="11" t="str">
        <x:v>q022</x:v>
      </x:c>
      <x:c r="B111" s="11" t="str">
        <x:v>direct</x:v>
      </x:c>
      <x:c r="C111" s="11" t="str">
        <x:v>F5</x:v>
      </x:c>
      <x:c r="D111" s="11" t="n">
        <x:v>5</x:v>
      </x:c>
      <x:c r="E111" s="14" t="n">
        <x:v>0.86194908618927</x:v>
      </x:c>
      <x:c r="F111" s="11" t="str">
        <x:v>tec-correo-electronico::transitory-iii</x:v>
      </x:c>
      <x:c r="G111" s="11" t="str">
        <x:v>No</x:v>
      </x:c>
      <x:c r="H111" s="11" t="str">
        <x:v>No</x:v>
      </x:c>
      <x:c r="I111" s="12" t="str">
        <x:v>Reglamento de uso del correo electrónico del Instituto Tecnológico de Costa Rica, Transitorio III</x:v>
      </x:c>
      <x:c r="J111" s="12" t="str">
        <x:v>https://www.tec.ac.cr/reglamento-uso-correo-electronico-instituto-tecnologico-costa-rica</x:v>
      </x:c>
      <x:c r="K111" s="12" t="str">
        <x:v>El DATIC como ente técnico, de manera conjunta con la Oficina de Asesoría Legal, deberá elaborar y divulgar a más tardar el 08 de setiembre de 2022, los procedimientos idóneos para disponer del consentimiento autorizado para obtener información laboral previo a la asignación de la cuenta de correo institucional a las personas funcionarias que ingresen a la Institución, con acompañamiento de la Oficina de Planificación Institucional en cuanto a la utilización de la Guía para la elaboración de manuales de procedimientos</x:v>
      </x:c>
      <x:c r="L111" s="12" t="str">
        <x:v>tec-correo-electronico::transitory-iii::chunk-001</x:v>
      </x:c>
      <x:c r="M111" s="12" t="str">
        <x:v>tec-correo-electronico</x:v>
      </x:c>
    </x:row>
    <x:row r="112" ht="92" customHeight="1">
      <x:c r="A112" s="11" t="str">
        <x:v>q023</x:v>
      </x:c>
      <x:c r="B112" s="11" t="str">
        <x:v>direct</x:v>
      </x:c>
      <x:c r="C112" s="11" t="str">
        <x:v>F1</x:v>
      </x:c>
      <x:c r="D112" s="11" t="n">
        <x:v>1</x:v>
      </x:c>
      <x:c r="E112" s="14" t="n">
        <x:v>0.8909147381782532</x:v>
      </x:c>
      <x:c r="F112" s="11" t="str">
        <x:v>tec-hostigamiento-sexual::article-17</x:v>
      </x:c>
      <x:c r="G112" s="11" t="str">
        <x:v>No</x:v>
      </x:c>
      <x:c r="H112" s="11" t="str">
        <x:v>No</x:v>
      </x:c>
      <x:c r="I112" s="12" t="str">
        <x:v>Reglamento Contra El Hostigamiento Sexual en el Empleo y la Academia en el Instituto Tecnológico de Costa Rica, Artículo 17: Denuncias falsas</x:v>
      </x:c>
      <x:c r="J112" s="12" t="str">
        <x:v>https://www.tec.ac.cr/reglamento-hostigamiento-sexual-empleo-academia-instituto-tecnologico-costa-rica-0</x:v>
      </x:c>
      <x:c r="K112" s="12" t="str">
        <x:v>Quien denuncie hostigamiento sexual falso, podrá incurrir, cuando así se tipifique, en cualquiera de las conductas propias de la difamación, la injuria o la calumnia, según el Código Penal.</x:v>
      </x:c>
      <x:c r="L112" s="12" t="str">
        <x:v>tec-hostigamiento-sexual::article-17::chunk-001</x:v>
      </x:c>
      <x:c r="M112" s="12" t="str">
        <x:v>tec-hostigamiento-sexual</x:v>
      </x:c>
    </x:row>
    <x:row r="113" ht="92" customHeight="1">
      <x:c r="A113" s="11" t="str">
        <x:v>q023</x:v>
      </x:c>
      <x:c r="B113" s="11" t="str">
        <x:v>direct</x:v>
      </x:c>
      <x:c r="C113" s="11" t="str">
        <x:v>F2</x:v>
      </x:c>
      <x:c r="D113" s="11" t="n">
        <x:v>2</x:v>
      </x:c>
      <x:c r="E113" s="14" t="n">
        <x:v>0.8901637196540833</x:v>
      </x:c>
      <x:c r="F113" s="11" t="str">
        <x:v>tec-hostigamiento-sexual::article-3</x:v>
      </x:c>
      <x:c r="G113" s="11" t="str">
        <x:v>No</x:v>
      </x:c>
      <x:c r="H113" s="11" t="str">
        <x:v>No</x:v>
      </x:c>
      <x:c r="I113" s="12" t="str">
        <x:v>Reglamento Contra El Hostigamiento Sexual en el Empleo y la Academia en el Instituto Tecnológico de Costa Rica, Artículo 3: Definiciones</x:v>
      </x:c>
      <x:c r="J113" s="12" t="str">
        <x:v>https://www.tec.ac.cr/reglamento-hostigamiento-sexual-empleo-academia-instituto-tecnologico-costa-rica-0</x:v>
      </x:c>
      <x:c r="K113" s="12" t="str">
        <x:v>trabajo y/o educativo de una persona: se refiere a todas las acciones que afectan el desarrollo normal de las actividades laborales y académicas, que resultan en conductas tales como, baja eficiencia, ausencia, incapacidades, desmotivación, disminución en el rendimiento académico, no cumplimiento con los requisitos del curso y otros que se consideran producto de los efectos del hostigamiento sexual. e. El estado general de bienestar personal: son todas las acciones que afectan negativamente el estado general, a nivel físico, emocional y/o psicológico, de aquellas personas que sufren hostigamiento sexual. f. Persona denunciada: la persona que se le atribuye a través de una denuncia formal una presunta conducta de Hostigamiento Sexual. g. Persona denunciante: la persona que sea víctima de hostigamiento sexual y denuncie estar recibiendo esas conductas. La persona denunciante dentro de un proceso de denuncia por hostigamiento sexual siempre debe ser considerada como parte del proceso. h. Represalias: daño que se hace a otra persona por venganza o para satisfacer un agravio, incluye amenazas, intimidación, chantaje, o cualquier otra acción adversa que pudiese afectar la relación laboral o académica, la investigación o resolución de la denuncia por Hostigamiento Sexual.</x:v>
      </x:c>
      <x:c r="L113" s="12" t="str">
        <x:v>tec-hostigamiento-sexual::article-3::chunk-002</x:v>
      </x:c>
      <x:c r="M113" s="12" t="str">
        <x:v>tec-hostigamiento-sexual</x:v>
      </x:c>
    </x:row>
    <x:row r="114" ht="92" customHeight="1">
      <x:c r="A114" s="11" t="str">
        <x:v>q023</x:v>
      </x:c>
      <x:c r="B114" s="11" t="str">
        <x:v>direct</x:v>
      </x:c>
      <x:c r="C114" s="11" t="str">
        <x:v>F3</x:v>
      </x:c>
      <x:c r="D114" s="11" t="n">
        <x:v>3</x:v>
      </x:c>
      <x:c r="E114" s="14" t="n">
        <x:v>0.8864129781723022</x:v>
      </x:c>
      <x:c r="F114" s="11" t="str">
        <x:v>tec-hostigamiento-sexual::article-27</x:v>
      </x:c>
      <x:c r="G114" s="11" t="str">
        <x:v>Sí</x:v>
      </x:c>
      <x:c r="H114" s="11" t="str">
        <x:v>Sí</x:v>
      </x:c>
      <x:c r="I114" s="12" t="str">
        <x:v>Reglamento Contra El Hostigamiento Sexual en el Empleo y la Academia en el Instituto Tecnológico de Costa Rica, Artículo 27: Presentación de la denuncia</x:v>
      </x:c>
      <x:c r="J114" s="12" t="str">
        <x:v>https://www.tec.ac.cr/reglamento-hostigamiento-sexual-empleo-academia-instituto-tecnologico-costa-rica-0</x:v>
      </x:c>
      <x:c r="K114" s="12" t="str">
        <x:v>Toda persona a la que cubre este reglamento acudirá a interponer la denuncia en la Fiscalía contra el Hostigamiento Sexual. La denuncia debe presentarse en forma escrita y deberá indicar: a. Nombre completo del o de la persona denunciante, número de cédula y dependencia de trabajo o estudio y dirección exacta. b. Nombre de la persona denunciada, número de cédula y dependencia de trabajo o estudio y cuando sean de conocimiento sus calidades y dirección exacta. c. El lugar y los hechos ocurridos por el hostigamiento sexual, descritos con la mayor precisión y claridad posibles. d. Fecha a partir de la cual ha recibido el hostigamiento sexual para cada uno de los hechos y la fecha en la que se presenta el último hecho. e. Nombre y calidades de las personas que puedan atestiguar sobre los hechos denunciados. f. Presentación de cualquier otra prueba indiciaria o directa que a su juicio sirva para la comprobación de los hechos denunciados, sin perjuicio de las que pueda presentar directamente en la audiencia. g. Especificar una dirección física dentro del perímetro del ITCR, ya sea un kilómetro a la redonda, un número de Fax, un correo electrónico o una oficina en el mismo ITCR para que reciba las notificaciones. h. El acta en que se hace constar la denuncia debe contener fecha y firma de la persona denunciante y de la persona Fiscal</x:v>
      </x:c>
      <x:c r="L114" s="12" t="str">
        <x:v>tec-hostigamiento-sexual::article-27::chunk-001</x:v>
      </x:c>
      <x:c r="M114" s="12" t="str">
        <x:v>tec-hostigamiento-sexual</x:v>
      </x:c>
    </x:row>
    <x:row r="115" ht="92" customHeight="1">
      <x:c r="A115" s="11" t="str">
        <x:v>q023</x:v>
      </x:c>
      <x:c r="B115" s="11" t="str">
        <x:v>direct</x:v>
      </x:c>
      <x:c r="C115" s="11" t="str">
        <x:v>F4</x:v>
      </x:c>
      <x:c r="D115" s="11" t="n">
        <x:v>4</x:v>
      </x:c>
      <x:c r="E115" s="14" t="n">
        <x:v>0.8839722871780396</x:v>
      </x:c>
      <x:c r="F115" s="11" t="str">
        <x:v>tec-hostigamiento-sexual::article-4</x:v>
      </x:c>
      <x:c r="G115" s="11" t="str">
        <x:v>No</x:v>
      </x:c>
      <x:c r="H115" s="11" t="str">
        <x:v>No</x:v>
      </x:c>
      <x:c r="I115" s="12" t="str">
        <x:v>Reglamento Contra El Hostigamiento Sexual en el Empleo y la Academia en el Instituto Tecnológico de Costa Rica, Artículo 4: Alcance y Sujetos:</x:v>
      </x:c>
      <x:c r="J115" s="12" t="str">
        <x:v>https://www.tec.ac.cr/reglamento-hostigamiento-sexual-empleo-academia-instituto-tecnologico-costa-rica-0</x:v>
      </x:c>
      <x:c r="K115" s="12" t="str">
        <x:v>Este reglamento se aplicará a todas las personas de la Comunidad Institucional, las instancias y niveles de la estructura jerárquica del ITCR y es de acatamiento obligatorio para el personal académico, administrativo, estudiantes, personas usuarias, proveedoras, prestadoras de servicios, pasantes, meritorias, practicantes y clientes que estén vinculadas con el ITCR. Tanto las personas que interponen denuncias por hostigamiento sexual como las personas denunciadas deben ser consideradas como parte del proceso administrativo.</x:v>
      </x:c>
      <x:c r="L115" s="12" t="str">
        <x:v>tec-hostigamiento-sexual::article-4::chunk-001</x:v>
      </x:c>
      <x:c r="M115" s="12" t="str">
        <x:v>tec-hostigamiento-sexual</x:v>
      </x:c>
    </x:row>
    <x:row r="116" ht="92" customHeight="1">
      <x:c r="A116" s="11" t="str">
        <x:v>q023</x:v>
      </x:c>
      <x:c r="B116" s="11" t="str">
        <x:v>direct</x:v>
      </x:c>
      <x:c r="C116" s="11" t="str">
        <x:v>F5</x:v>
      </x:c>
      <x:c r="D116" s="11" t="n">
        <x:v>5</x:v>
      </x:c>
      <x:c r="E116" s="14" t="n">
        <x:v>0.879780650138855</x:v>
      </x:c>
      <x:c r="F116" s="11" t="str">
        <x:v>tec-hostigamiento-sexual::article-31</x:v>
      </x:c>
      <x:c r="G116" s="11" t="str">
        <x:v>No</x:v>
      </x:c>
      <x:c r="H116" s="11" t="str">
        <x:v>No</x:v>
      </x:c>
      <x:c r="I116" s="12" t="str">
        <x:v>Reglamento Contra El Hostigamiento Sexual en el Empleo y la Academia en el Instituto Tecnológico de Costa Rica, Artículo 31</x:v>
      </x:c>
      <x:c r="J116" s="12" t="str">
        <x:v>https://www.tec.ac.cr/reglamento-hostigamiento-sexual-empleo-academia-instituto-tecnologico-costa-rica-0</x:v>
      </x:c>
      <x:c r="K116" s="12" t="str">
        <x:v>Notificación Tanto la persona denunciante como la denunciada deberán señalar correo electrónico personal, fax u otro medio donde se le pueda notificar. Si la persona denunciada omite el lugar para notificaciones o fuere impreciso o incierto, las resoluciones que se dicten quedarán por notificadas en un plazo de 24 horas.</x:v>
      </x:c>
      <x:c r="L116" s="12" t="str">
        <x:v>tec-hostigamiento-sexual::article-31::chunk-001</x:v>
      </x:c>
      <x:c r="M116" s="12" t="str">
        <x:v>tec-hostigamiento-sexual</x:v>
      </x:c>
    </x:row>
    <x:row r="117" ht="92" customHeight="1">
      <x:c r="A117" s="11" t="str">
        <x:v>q024</x:v>
      </x:c>
      <x:c r="B117" s="11" t="str">
        <x:v>direct</x:v>
      </x:c>
      <x:c r="C117" s="11" t="str">
        <x:v>F1</x:v>
      </x:c>
      <x:c r="D117" s="11" t="n">
        <x:v>1</x:v>
      </x:c>
      <x:c r="E117" s="14" t="n">
        <x:v>0.900978684425354</x:v>
      </x:c>
      <x:c r="F117" s="11" t="str">
        <x:v>tec-no-discriminacion::article-30</x:v>
      </x:c>
      <x:c r="G117" s="11" t="str">
        <x:v>Sí</x:v>
      </x:c>
      <x:c r="H117" s="11" t="str">
        <x:v>Sí</x:v>
      </x:c>
      <x:c r="I117" s="12" t="str">
        <x:v>Reglamento contra la discriminación por orientación sexual e identidad de género del ITCR, Artículo 30. Presentación de la denuncia</x:v>
      </x:c>
      <x:c r="J117" s="12" t="str">
        <x:v>https://www.tec.ac.cr/reglamento-instituto-tecnologico-costa-rica-discriminacion-orientacion-sexual-identidad-expresion</x:v>
      </x:c>
      <x:c r="K117" s="12" t="str">
        <x:v>Todas las personas que cubra este reglamento pueden interponer la denuncia por discriminación por orientación sexual, identidad y expresión de género. Serán presentadas en la Fiscalía contra la discriminación por orientación sexual, identidad y expresión de género. La denuncia podrá ser presentada de manera presencial o firmada digitalmente cuando el caso amerite. Esta debe estar firmada tanto por la persona denunciante y la persona que la recibe. La denuncia presentada deberá indicar: a. Nombre completo de quien interpone la denuncia, número de cédula, edad, dependencia de trabajo o estudio cuando corresponda, domicilio exacto. b. Nombre completo de la persona denunciada, lugar de trabajo o estudio, otros como calidades y dirección exacta cuando sean del conocimiento de la persona que interpone la denuncia. c. Descripción de la relación entre las partes. d. Descripción clara y detallada de los hechos, con mención de la fecha y lugar. e. Presentación de cualquier prueba que a su juicio sirve de comprobación de los hechos denunciados, sin perjuicio que pueda presentar otras pruebas en la audiencia. f. Nombre y calidades de las personas que puedan atestiguar sobre los hechos denunciados con la indicación de dónde pueden ser localizadas o el medio para contactarlas g. Solicitud de medidas cautelares cuando se consideren pertinentes. h. Lugar de notificación, especificando una dirección física, un número de fax, un correo electrónico, o un lugar dentro del mismo Instituto Tecnológico de Costa Rica para que reciba notificaciones. i. Fecha y firmas de la persona denunciante y de quien ejerce la Fiscalía.</x:v>
      </x:c>
      <x:c r="L117" s="12" t="str">
        <x:v>tec-no-discriminacion::article-30::chunk-001</x:v>
      </x:c>
      <x:c r="M117" s="12" t="str">
        <x:v>tec-no-discriminacion</x:v>
      </x:c>
    </x:row>
    <x:row r="118" ht="92" customHeight="1">
      <x:c r="A118" s="11" t="str">
        <x:v>q024</x:v>
      </x:c>
      <x:c r="B118" s="11" t="str">
        <x:v>direct</x:v>
      </x:c>
      <x:c r="C118" s="11" t="str">
        <x:v>F2</x:v>
      </x:c>
      <x:c r="D118" s="11" t="n">
        <x:v>2</x:v>
      </x:c>
      <x:c r="E118" s="14" t="n">
        <x:v>0.8912914991378784</x:v>
      </x:c>
      <x:c r="F118" s="11" t="str">
        <x:v>tec-no-discriminacion::article-35</x:v>
      </x:c>
      <x:c r="G118" s="11" t="str">
        <x:v>No</x:v>
      </x:c>
      <x:c r="H118" s="11" t="str">
        <x:v>No</x:v>
      </x:c>
      <x:c r="I118" s="12" t="str">
        <x:v>Reglamento contra la discriminación por orientación sexual e identidad de género del ITCR, Artículo 35. Traslado de cargos</x:v>
      </x:c>
      <x:c r="J118" s="12" t="str">
        <x:v>https://www.tec.ac.cr/reglamento-instituto-tecnologico-costa-rica-discriminacion-orientacion-sexual-identidad-expresion</x:v>
      </x:c>
      <x:c r="K118" s="12" t="str">
        <x:v>s después de su notificación a la persona denunciada para que se refiera por escrito a todos y cada uno de los hechos que se le imputan. En el caso de que la persona denunciada no ejerza su defensa, puede hacerlo en la audiencia oral y privada que se señale, si así no lo hace el proceso continuará hasta la etapa final, sin que por ello pierda su derecho a presentar los recursos correspondientes.</x:v>
      </x:c>
      <x:c r="L118" s="12" t="str">
        <x:v>tec-no-discriminacion::article-35::chunk-002</x:v>
      </x:c>
      <x:c r="M118" s="12" t="str">
        <x:v>tec-no-discriminacion</x:v>
      </x:c>
    </x:row>
    <x:row r="119" ht="92" customHeight="1">
      <x:c r="A119" s="11" t="str">
        <x:v>q024</x:v>
      </x:c>
      <x:c r="B119" s="11" t="str">
        <x:v>direct</x:v>
      </x:c>
      <x:c r="C119" s="11" t="str">
        <x:v>F3</x:v>
      </x:c>
      <x:c r="D119" s="11" t="n">
        <x:v>3</x:v>
      </x:c>
      <x:c r="E119" s="14" t="n">
        <x:v>0.8898066878318787</x:v>
      </x:c>
      <x:c r="F119" s="11" t="str">
        <x:v>tec-no-discriminacion::article-31</x:v>
      </x:c>
      <x:c r="G119" s="11" t="str">
        <x:v>No</x:v>
      </x:c>
      <x:c r="H119" s="11" t="str">
        <x:v>No</x:v>
      </x:c>
      <x:c r="I119" s="12" t="str">
        <x:v>Reglamento contra la discriminación por orientación sexual e identidad de género del ITCR, Artículo 31. Investigaciones preliminares</x:v>
      </x:c>
      <x:c r="J119" s="12" t="str">
        <x:v>https://www.tec.ac.cr/reglamento-instituto-tecnologico-costa-rica-discriminacion-orientacion-sexual-identidad-expresion</x:v>
      </x:c>
      <x:c r="K119" s="12" t="str">
        <x:v>En los casos de denuncia por discriminación por orientación sexual, identidad y expresión de género; únicamente se permite la investigación preliminar cuando no se cuente con el nombre o no se haya identificado la persona que ha ejercido dicha discriminación. En estos casos la Comisión Institucional nombrará a dos personas del seno de la Comisión, para que la realicen, siendo el objetivo único de la misma, la identificación de la persona que sería denunciada garantizando el principio de confidencialidad. Estas dos personas no podrán formar parte de la Comisión Investigadora que lleve a cabo el procedimiento cuando se abra el caso.</x:v>
      </x:c>
      <x:c r="L119" s="12" t="str">
        <x:v>tec-no-discriminacion::article-31::chunk-001</x:v>
      </x:c>
      <x:c r="M119" s="12" t="str">
        <x:v>tec-no-discriminacion</x:v>
      </x:c>
    </x:row>
    <x:row r="120" ht="92" customHeight="1">
      <x:c r="A120" s="11" t="str">
        <x:v>q024</x:v>
      </x:c>
      <x:c r="B120" s="11" t="str">
        <x:v>direct</x:v>
      </x:c>
      <x:c r="C120" s="11" t="str">
        <x:v>F4</x:v>
      </x:c>
      <x:c r="D120" s="11" t="n">
        <x:v>4</x:v>
      </x:c>
      <x:c r="E120" s="14" t="n">
        <x:v>0.8882910013198853</x:v>
      </x:c>
      <x:c r="F120" s="11" t="str">
        <x:v>tec-no-discriminacion::article-29</x:v>
      </x:c>
      <x:c r="G120" s="11" t="str">
        <x:v>No</x:v>
      </x:c>
      <x:c r="H120" s="11" t="str">
        <x:v>No</x:v>
      </x:c>
      <x:c r="I120" s="12" t="str">
        <x:v>Reglamento contra la discriminación por orientación sexual e identidad de género del ITCR, Artículo 29. Plazo para interponer la denuncia</x:v>
      </x:c>
      <x:c r="J120" s="12" t="str">
        <x:v>https://www.tec.ac.cr/reglamento-instituto-tecnologico-costa-rica-discriminacion-orientacion-sexual-identidad-expresion</x:v>
      </x:c>
      <x:c r="K120" s="12" t="str">
        <x:v>El plazo para interponer la denuncia es de dos años y se computará a partir del último hecho consecuencia de la discriminación o a partir de que cesó la causa justificada que le impidió denunciar.</x:v>
      </x:c>
      <x:c r="L120" s="12" t="str">
        <x:v>tec-no-discriminacion::article-29::chunk-001</x:v>
      </x:c>
      <x:c r="M120" s="12" t="str">
        <x:v>tec-no-discriminacion</x:v>
      </x:c>
    </x:row>
    <x:row r="121" ht="92" customHeight="1">
      <x:c r="A121" s="11" t="str">
        <x:v>q024</x:v>
      </x:c>
      <x:c r="B121" s="11" t="str">
        <x:v>direct</x:v>
      </x:c>
      <x:c r="C121" s="11" t="str">
        <x:v>F5</x:v>
      </x:c>
      <x:c r="D121" s="11" t="n">
        <x:v>5</x:v>
      </x:c>
      <x:c r="E121" s="14" t="n">
        <x:v>0.8880399465560913</x:v>
      </x:c>
      <x:c r="F121" s="11" t="str">
        <x:v>tec-no-discriminacion::article-10</x:v>
      </x:c>
      <x:c r="G121" s="11" t="str">
        <x:v>No</x:v>
      </x:c>
      <x:c r="H121" s="11" t="str">
        <x:v>No</x:v>
      </x:c>
      <x:c r="I121" s="12" t="str">
        <x:v>Reglamento contra la discriminación por orientación sexual e identidad de género del ITCR, Artículo 10. De la Fiscalía Institucional</x:v>
      </x:c>
      <x:c r="J121" s="12" t="str">
        <x:v>https://www.tec.ac.cr/reglamento-instituto-tecnologico-costa-rica-discriminacion-orientacion-sexual-identidad-expresion</x:v>
      </x:c>
      <x:c r="K121" s="12" t="str">
        <x:v>La Institución contará con una persona profesional en derecho para atender la Fiscalía Institucional por discriminación por orientación sexual, identidad y expresión de género quien atenderá las denuncias en todos los Campus Tecnológicos y Centros Académicos del ITCR. La Fiscalía estará adscrita a la Oficina de Equidad de Género.</x:v>
      </x:c>
      <x:c r="L121" s="12" t="str">
        <x:v>tec-no-discriminacion::article-10::chunk-001</x:v>
      </x:c>
      <x:c r="M121" s="12" t="str">
        <x:v>tec-no-discriminacion</x:v>
      </x:c>
    </x:row>
    <x:row r="122" ht="92" customHeight="1">
      <x:c r="A122" s="11" t="str">
        <x:v>q025</x:v>
      </x:c>
      <x:c r="B122" s="11" t="str">
        <x:v>direct</x:v>
      </x:c>
      <x:c r="C122" s="11" t="str">
        <x:v>F1</x:v>
      </x:c>
      <x:c r="D122" s="11" t="n">
        <x:v>1</x:v>
      </x:c>
      <x:c r="E122" s="14" t="n">
        <x:v>0.9134548306465149</x:v>
      </x:c>
      <x:c r="F122" s="11" t="str">
        <x:v>tec-tercer-representante-estudiantil::article-24</x:v>
      </x:c>
      <x:c r="G122" s="11" t="str">
        <x:v>No</x:v>
      </x:c>
      <x:c r="H122" s="11" t="str">
        <x:v>No</x:v>
      </x:c>
      <x:c r="I122" s="12" t="str">
        <x:v>Reglamento para la Elección del Tercer Representante y Tercer Suplente Estudiantil ante el Consejo Institucional, ARTÍCULO 24</x:v>
      </x:c>
      <x:c r="J122" s="12" t="str">
        <x:v>https://www.tec.ac.cr/reglamento-eleccion-tercer-representante-tercer-suplente-estudiantil-consejo-institucional</x:v>
      </x:c>
      <x:c r="K122" s="12" t="str">
        <x:v>Se podrá elegir junto con el Tercer Representante ante el Consejo Institucional, el Tercer Suplente Estudiantil ante el Consejo Institucional. Este deberá cumplir con lo estipulado en el Artículo 14 y 15 del presente reglamento.</x:v>
      </x:c>
      <x:c r="L122" s="12" t="str">
        <x:v>tec-tercer-representante-estudiantil::article-24::chunk-001</x:v>
      </x:c>
      <x:c r="M122" s="12" t="str">
        <x:v>tec-tercer-representante-estudiantil</x:v>
      </x:c>
    </x:row>
    <x:row r="123" ht="92" customHeight="1">
      <x:c r="A123" s="11" t="str">
        <x:v>q025</x:v>
      </x:c>
      <x:c r="B123" s="11" t="str">
        <x:v>direct</x:v>
      </x:c>
      <x:c r="C123" s="11" t="str">
        <x:v>F2</x:v>
      </x:c>
      <x:c r="D123" s="11" t="n">
        <x:v>2</x:v>
      </x:c>
      <x:c r="E123" s="14" t="n">
        <x:v>0.9093800783157349</x:v>
      </x:c>
      <x:c r="F123" s="11" t="str">
        <x:v>tec-codigo-electoral-estudiantil::article-64</x:v>
      </x:c>
      <x:c r="G123" s="11" t="str">
        <x:v>No</x:v>
      </x:c>
      <x:c r="H123" s="11" t="str">
        <x:v>No</x:v>
      </x:c>
      <x:c r="I123" s="12" t="str">
        <x:v>Código Electoral Estudiantil del Tecnológico de Costa Rica, Artículo 64</x:v>
      </x:c>
      <x:c r="J123" s="12" t="str">
        <x:v>https://www.tec.ac.cr/codigo-electoral-estudiantil-tecnologico-costa-rica</x:v>
      </x:c>
      <x:c r="K123" s="12" t="str">
        <x:v>La elección del Tercer Representante Estudiantil y Tercer Suplente ante el Consejo Institucional, se deberá efectuar de acuerdo a lo establecido en el Reglamento para la Elección del Tercer Representante y Tercer Suplente Estudiantil ante el Consejo Institucional.</x:v>
      </x:c>
      <x:c r="L123" s="12" t="str">
        <x:v>tec-codigo-electoral-estudiantil::article-64::chunk-001</x:v>
      </x:c>
      <x:c r="M123" s="12" t="str">
        <x:v>tec-codigo-electoral-estudiantil</x:v>
      </x:c>
    </x:row>
    <x:row r="124" ht="92" customHeight="1">
      <x:c r="A124" s="11" t="str">
        <x:v>q025</x:v>
      </x:c>
      <x:c r="B124" s="11" t="str">
        <x:v>direct</x:v>
      </x:c>
      <x:c r="C124" s="11" t="str">
        <x:v>F3</x:v>
      </x:c>
      <x:c r="D124" s="11" t="n">
        <x:v>3</x:v>
      </x:c>
      <x:c r="E124" s="14" t="n">
        <x:v>0.9057883620262146</x:v>
      </x:c>
      <x:c r="F124" s="11" t="str">
        <x:v>tec-tercer-representante-estudiantil::article-25</x:v>
      </x:c>
      <x:c r="G124" s="11" t="str">
        <x:v>No</x:v>
      </x:c>
      <x:c r="H124" s="11" t="str">
        <x:v>Sí</x:v>
      </x:c>
      <x:c r="I124" s="12" t="str">
        <x:v>Reglamento para la Elección del Tercer Representante y Tercer Suplente Estudiantil ante el Consejo Institucional, ARTÍCULO 25</x:v>
      </x:c>
      <x:c r="J124" s="12" t="str">
        <x:v>https://www.tec.ac.cr/reglamento-eleccion-tercer-representante-tercer-suplente-estudiantil-consejo-institucional</x:v>
      </x:c>
      <x:c r="K124" s="12" t="str">
        <x:v>En caso de que exista más de un candidato para este puesto, quien obtenga el segundo lugar pasará a ser el suplente del Tercer Representante Estudiantil ante el Consejo Institucional.</x:v>
      </x:c>
      <x:c r="L124" s="12" t="str">
        <x:v>tec-tercer-representante-estudiantil::article-25::chunk-001</x:v>
      </x:c>
      <x:c r="M124" s="12" t="str">
        <x:v>tec-tercer-representante-estudiantil</x:v>
      </x:c>
    </x:row>
    <x:row r="125" ht="92" customHeight="1">
      <x:c r="A125" s="11" t="str">
        <x:v>q025</x:v>
      </x:c>
      <x:c r="B125" s="11" t="str">
        <x:v>direct</x:v>
      </x:c>
      <x:c r="C125" s="11" t="str">
        <x:v>F4</x:v>
      </x:c>
      <x:c r="D125" s="11" t="n">
        <x:v>4</x:v>
      </x:c>
      <x:c r="E125" s="14" t="n">
        <x:v>0.9057384729385376</x:v>
      </x:c>
      <x:c r="F125" s="11" t="str">
        <x:v>tec-tercer-representante-estudiantil::article-18</x:v>
      </x:c>
      <x:c r="G125" s="11" t="str">
        <x:v>Sí</x:v>
      </x:c>
      <x:c r="H125" s="11" t="str">
        <x:v>Sí</x:v>
      </x:c>
      <x:c r="I125" s="12" t="str">
        <x:v>Reglamento para la Elección del Tercer Representante y Tercer Suplente Estudiantil ante el Consejo Institucional, ARTÍCULO 18</x:v>
      </x:c>
      <x:c r="J125" s="12" t="str">
        <x:v>https://www.tec.ac.cr/reglamento-eleccion-tercer-representante-tercer-suplente-estudiantil-consejo-institucional</x:v>
      </x:c>
      <x:c r="K125" s="12" t="str">
        <x:v>La votación se hará por medio del sufragio universal y público.</x:v>
      </x:c>
      <x:c r="L125" s="12" t="str">
        <x:v>tec-tercer-representante-estudiantil::article-18::chunk-001</x:v>
      </x:c>
      <x:c r="M125" s="12" t="str">
        <x:v>tec-tercer-representante-estudiantil</x:v>
      </x:c>
    </x:row>
    <x:row r="126" ht="92" customHeight="1">
      <x:c r="A126" s="11" t="str">
        <x:v>q025</x:v>
      </x:c>
      <x:c r="B126" s="11" t="str">
        <x:v>direct</x:v>
      </x:c>
      <x:c r="C126" s="11" t="str">
        <x:v>F5</x:v>
      </x:c>
      <x:c r="D126" s="11" t="n">
        <x:v>5</x:v>
      </x:c>
      <x:c r="E126" s="14" t="n">
        <x:v>0.9048098921775818</x:v>
      </x:c>
      <x:c r="F126" s="11" t="str">
        <x:v>tec-tercer-representante-estudiantil::article-5</x:v>
      </x:c>
      <x:c r="G126" s="11" t="str">
        <x:v>No</x:v>
      </x:c>
      <x:c r="H126" s="11" t="str">
        <x:v>No</x:v>
      </x:c>
      <x:c r="I126" s="12" t="str">
        <x:v>Reglamento para la Elección del Tercer Representante y Tercer Suplente Estudiantil ante el Consejo Institucional, ARTÍCULO 5</x:v>
      </x:c>
      <x:c r="J126" s="12" t="str">
        <x:v>https://www.tec.ac.cr/reglamento-eleccion-tercer-representante-tercer-suplente-estudiantil-consejo-institucional</x:v>
      </x:c>
      <x:c r="K126" s="12" t="str">
        <x:v>El Consejo Ejecutivo contará con 5 votos que se deberán destinar de la siguiente manera: 1. Un voto para el presidente. 2. Un voto para 4 Miembros nombrados del Consejo.</x:v>
      </x:c>
      <x:c r="L126" s="12" t="str">
        <x:v>tec-tercer-representante-estudiantil::article-5::chunk-001</x:v>
      </x:c>
      <x:c r="M126" s="12" t="str">
        <x:v>tec-tercer-representante-estudiantil</x:v>
      </x:c>
    </x:row>
    <x:row r="127" ht="92" customHeight="1">
      <x:c r="A127" s="11" t="str">
        <x:v>q026</x:v>
      </x:c>
      <x:c r="B127" s="11" t="str">
        <x:v>multi_section</x:v>
      </x:c>
      <x:c r="C127" s="11" t="str">
        <x:v>F1</x:v>
      </x:c>
      <x:c r="D127" s="11" t="n">
        <x:v>1</x:v>
      </x:c>
      <x:c r="E127" s="14" t="n">
        <x:v>0.8953466415405273</x:v>
      </x:c>
      <x:c r="F127" s="11" t="str">
        <x:v>tec-admision-grado::article-38</x:v>
      </x:c>
      <x:c r="G127" s="11" t="str">
        <x:v>Sí</x:v>
      </x:c>
      <x:c r="H127" s="11" t="str">
        <x:v>Sí</x:v>
      </x:c>
      <x:c r="I127" s="12" t="str">
        <x:v>Reglamento de Admisión a Carreras de Grado en el Instituto Tecnológico de Costa Rica, Artículo 38. Solicitud de cambio de carrera</x:v>
      </x:c>
      <x:c r="J127" s="12" t="str">
        <x:v>https://www.tec.ac.cr/reglamento-admision-carreras-grado-instituto-tecnologico-costa-rica</x:v>
      </x:c>
      <x:c r="K127" s="12" t="str">
        <x:v>La persona estudiante que desee cambiar de carrera deberá solicitarlo por escrito al Departamento de Admisión y Registro, dentro del período señalado para ello en el Calendario Institucional y Académico y deberá acogerse al trámite establecido para tal efecto. Cada carrera admitirá por cambio de carrera hasta un máximo de un 5% de estudiantes de su cupo inicial, con posibilidad de incrementar este porcentaje, siempre que existan cupos disponibles.</x:v>
      </x:c>
      <x:c r="L127" s="12" t="str">
        <x:v>tec-admision-grado::article-38::chunk-001</x:v>
      </x:c>
      <x:c r="M127" s="12" t="str">
        <x:v>tec-admision-grado</x:v>
      </x:c>
    </x:row>
    <x:row r="128" ht="92" customHeight="1">
      <x:c r="A128" s="11" t="str">
        <x:v>q026</x:v>
      </x:c>
      <x:c r="B128" s="11" t="str">
        <x:v>multi_section</x:v>
      </x:c>
      <x:c r="C128" s="11" t="str">
        <x:v>F2</x:v>
      </x:c>
      <x:c r="D128" s="11" t="n">
        <x:v>2</x:v>
      </x:c>
      <x:c r="E128" s="14" t="n">
        <x:v>0.8819416165351868</x:v>
      </x:c>
      <x:c r="F128" s="11" t="str">
        <x:v>tec-admision-grado::article-25</x:v>
      </x:c>
      <x:c r="G128" s="11" t="str">
        <x:v>No</x:v>
      </x:c>
      <x:c r="H128" s="11" t="str">
        <x:v>No</x:v>
      </x:c>
      <x:c r="I128" s="12" t="str">
        <x:v>Reglamento de Admisión a Carreras de Grado en el Instituto Tecnológico de Costa Rica, Artículo 25. Criterios de priorización en la asignación de cupos para la Admisión Restringida</x:v>
      </x:c>
      <x:c r="J128" s="12" t="str">
        <x:v>https://www.tec.ac.cr/reglamento-admision-carreras-grado-instituto-tecnologico-costa-rica</x:v>
      </x:c>
      <x:c r="K128" s="12" t="str">
        <x:v>Serán elegibles todas aquellas personas solicitantes que hayan cumplido con los criterios indicados en el artículo anterior. Para el ingreso a carrera y de acuerdo con el estudio socioeconómico aplicado por el Departamento de Becas y Gestión Social, la asignación de los cupos disponibles a las personas solicitantes se ordenará así: según carrera solicitada, a. condición socioeconómica, de menor a mayor categoría, y tendrán prioridad para su ingreso al Instituto Tecnológico de Costa Rica en este mismo orden, b. cada categoría de condición socioeconómica se dividirá en grupos según sexo y nota de admisión de mayor a menor, c. La asignación de cupo por carrera se hará tomando como criterio principal la condición socioeconómica, luego el criterio de paridad de género y la nota de admisión. Si se agota la condición de paridad privará la condición socioeconómica.</x:v>
      </x:c>
      <x:c r="L128" s="12" t="str">
        <x:v>tec-admision-grado::article-25::chunk-001</x:v>
      </x:c>
      <x:c r="M128" s="12" t="str">
        <x:v>tec-admision-grado</x:v>
      </x:c>
    </x:row>
    <x:row r="129" ht="92" customHeight="1">
      <x:c r="A129" s="11" t="str">
        <x:v>q026</x:v>
      </x:c>
      <x:c r="B129" s="11" t="str">
        <x:v>multi_section</x:v>
      </x:c>
      <x:c r="C129" s="11" t="str">
        <x:v>F3</x:v>
      </x:c>
      <x:c r="D129" s="11" t="n">
        <x:v>3</x:v>
      </x:c>
      <x:c r="E129" s="14" t="n">
        <x:v>0.8757120370864868</x:v>
      </x:c>
      <x:c r="F129" s="11" t="str">
        <x:v>tec-admision-grado::article-39</x:v>
      </x:c>
      <x:c r="G129" s="11" t="str">
        <x:v>Sí</x:v>
      </x:c>
      <x:c r="H129" s="11" t="str">
        <x:v>Sí</x:v>
      </x:c>
      <x:c r="I129" s="12" t="str">
        <x:v>Reglamento de Admisión a Carreras de Grado en el Instituto Tecnológico de Costa Rica, Artículo 39. Requisitos para el cambio de carrera</x:v>
      </x:c>
      <x:c r="J129" s="12" t="str">
        <x:v>https://www.tec.ac.cr/reglamento-admision-carreras-grado-instituto-tecnologico-costa-rica</x:v>
      </x:c>
      <x:c r="K129" s="12" t="str">
        <x:v>Podrá optar por el cambio de carrera quien haya cursado y aprobado seis créditos del plan de estudios en el cual está matriculado(a). Se utilizará como criterio de selección el promedio ponderado de calificaciones de todas las materias cursadas en el último periodo.</x:v>
      </x:c>
      <x:c r="L129" s="12" t="str">
        <x:v>tec-admision-grado::article-39::chunk-001</x:v>
      </x:c>
      <x:c r="M129" s="12" t="str">
        <x:v>tec-admision-grado</x:v>
      </x:c>
    </x:row>
    <x:row r="130" ht="92" customHeight="1">
      <x:c r="A130" s="11" t="str">
        <x:v>q026</x:v>
      </x:c>
      <x:c r="B130" s="11" t="str">
        <x:v>multi_section</x:v>
      </x:c>
      <x:c r="C130" s="11" t="str">
        <x:v>F4</x:v>
      </x:c>
      <x:c r="D130" s="11" t="n">
        <x:v>4</x:v>
      </x:c>
      <x:c r="E130" s="14" t="n">
        <x:v>0.8725568056106567</x:v>
      </x:c>
      <x:c r="F130" s="11" t="str">
        <x:v>tec-admision-grado::article-23</x:v>
      </x:c>
      <x:c r="G130" s="11" t="str">
        <x:v>No</x:v>
      </x:c>
      <x:c r="H130" s="11" t="str">
        <x:v>No</x:v>
      </x:c>
      <x:c r="I130" s="12" t="str">
        <x:v>Reglamento de Admisión a Carreras de Grado en el Instituto Tecnológico de Costa Rica, Artículo 23. Cupos para la Admisión Restringida</x:v>
      </x:c>
      <x:c r="J130" s="12" t="str">
        <x:v>https://www.tec.ac.cr/reglamento-admision-carreras-grado-instituto-tecnologico-costa-rica</x:v>
      </x:c>
      <x:c r="K130" s="12" t="str">
        <x:v>El cupo que se asignará a la modalidad de Admisión Restringida será de un 10% de los cupos aprobados para estudiantes de primer ingreso en las carreras de grado. El titular de la Vicerrectoría de Vida Estudiantil y Servicios Académicos podrá aprobar la ampliación de los cupos hasta un 15% para las carreras con mayor cantidad de solicitudes, considerando que la matrícula total en esta modalidad no sobrepase el 10% de la matrícula total de primer ingreso. El 5% adicional de las carreras que presenten sobredemanda, correspondientes a las áreas de ciencia, tecnología, ingeniería y matemática, se asignará seleccionando de manera alterna, en primer lugar, una mujer y luego un hombre, así sucesivamente hasta agotar los espacios y observando los criterios señalados en el artículo siguiente. Los cupos aprobados por esta vía que no se utilicen serán habilitados en la matrícula ordinaria de Admisión Abierta de estudiantes nuevos.</x:v>
      </x:c>
      <x:c r="L130" s="12" t="str">
        <x:v>tec-admision-grado::article-23::chunk-001</x:v>
      </x:c>
      <x:c r="M130" s="12" t="str">
        <x:v>tec-admision-grado</x:v>
      </x:c>
    </x:row>
    <x:row r="131" ht="92" customHeight="1">
      <x:c r="A131" s="11" t="str">
        <x:v>q026</x:v>
      </x:c>
      <x:c r="B131" s="11" t="str">
        <x:v>multi_section</x:v>
      </x:c>
      <x:c r="C131" s="11" t="str">
        <x:v>F5</x:v>
      </x:c>
      <x:c r="D131" s="11" t="n">
        <x:v>5</x:v>
      </x:c>
      <x:c r="E131" s="14" t="n">
        <x:v>0.8720899820327759</x:v>
      </x:c>
      <x:c r="F131" s="11" t="str">
        <x:v>tec-rrea-2025::article-11</x:v>
      </x:c>
      <x:c r="G131" s="11" t="str">
        <x:v>No</x:v>
      </x:c>
      <x:c r="H131" s="11" t="str">
        <x:v>No</x:v>
      </x:c>
      <x:c r="I131" s="12" t="str">
        <x:v>Reglamento del Régimen Enseñanza-Aprendizaje del Instituto Tecnológico de Costa Rica, Artículo 11. De la reserva de cupos</x:v>
      </x:c>
      <x:c r="J131" s="12" t="str">
        <x:v>https://www.tec.ac.cr/reglamento-regimen-ensenanza-aprendizaje-instituto-tecnologico-costa-rica</x:v>
      </x:c>
      <x:c r="K131" s="12" t="str">
        <x:v>cantidad de cupos solicitados es menor que los ofertados, no se tramitará reserva de cupos y la persona estudiante deberá realizar el proceso de matrícula. En caso de que la cantidad de solicitudes de reserva exceda la de cupos ofertados, tendrá prioridad quien tenga menor cantidad de cursos pendientes para graduarse. Además, cada instancia podrá definir criterios adicionales para priorizar la asignación de cupos. Artículo modificado mediante Sesión del Consejo Institucional, Sesión Ordinaria No. 3409, Artículo 9, del 28 de mayo del 2025. Publicado en Gaceta No. 1288, lunes 2 de junio del 2025.</x:v>
      </x:c>
      <x:c r="L131" s="12" t="str">
        <x:v>tec-rrea-2025::article-11::chunk-002</x:v>
      </x:c>
      <x:c r="M131" s="12" t="str">
        <x:v>tec-rrea-2025</x:v>
      </x:c>
    </x:row>
    <x:row r="132" ht="92" customHeight="1">
      <x:c r="A132" s="11" t="str">
        <x:v>q027</x:v>
      </x:c>
      <x:c r="B132" s="11" t="str">
        <x:v>multi_section</x:v>
      </x:c>
      <x:c r="C132" s="11" t="str">
        <x:v>F1</x:v>
      </x:c>
      <x:c r="D132" s="11" t="n">
        <x:v>1</x:v>
      </x:c>
      <x:c r="E132" s="14" t="n">
        <x:v>0.9137009382247925</x:v>
      </x:c>
      <x:c r="F132" s="11" t="str">
        <x:v>tec-graduacion::article-7-bis</x:v>
      </x:c>
      <x:c r="G132" s="11" t="str">
        <x:v>Sí</x:v>
      </x:c>
      <x:c r="H132" s="11" t="str">
        <x:v>Sí</x:v>
      </x:c>
      <x:c r="I132" s="12" t="str">
        <x:v>Reglamento de Normas Generales de Graduación en el Tecnológico de Costa Rica, Artículo 7 bis: Requisitos generales para tener graduación de honor</x:v>
      </x:c>
      <x:c r="J132" s="12" t="str">
        <x:v>https://www.tec.ac.cr/reglamento-normas-generales-graduacion-tecnologico-costa-rica</x:v>
      </x:c>
      <x:c r="K132" s="12" t="str">
        <x:v>Tendrá graduación de honor aquella persona estudiante que se haya distinguido en forma permanente en su actividad académica. El reconocimiento de la condición de graduación de honor se hará por medio de una mención honorífica que le será entregada en el Acto de Graduación oficial del Instituto. Para obtener esta distinción, la persona deberá cumplir con lo siguiente: a. No haber reprobado ninguna asignatura de su plan de estudios. b. No haber recibido sanciones disciplinarias, a lo largo de toda su permanencia en la Institución.</x:v>
      </x:c>
      <x:c r="L132" s="12" t="str">
        <x:v>tec-graduacion::article-7-bis::chunk-001</x:v>
      </x:c>
      <x:c r="M132" s="12" t="str">
        <x:v>tec-graduacion</x:v>
      </x:c>
    </x:row>
    <x:row r="133" ht="92" customHeight="1">
      <x:c r="A133" s="11" t="str">
        <x:v>q027</x:v>
      </x:c>
      <x:c r="B133" s="11" t="str">
        <x:v>multi_section</x:v>
      </x:c>
      <x:c r="C133" s="11" t="str">
        <x:v>F2</x:v>
      </x:c>
      <x:c r="D133" s="11" t="n">
        <x:v>2</x:v>
      </x:c>
      <x:c r="E133" s="14" t="n">
        <x:v>0.9021469950675964</x:v>
      </x:c>
      <x:c r="F133" s="11" t="str">
        <x:v>tec-graduacion::article-7-ter</x:v>
      </x:c>
      <x:c r="G133" s="11" t="str">
        <x:v>Sí</x:v>
      </x:c>
      <x:c r="H133" s="11" t="str">
        <x:v>Sí</x:v>
      </x:c>
      <x:c r="I133" s="12" t="str">
        <x:v>Reglamento de Normas Generales de Graduación en el Tecnológico de Costa Rica, Artículo 7 ter: Promedio mínimo para tener graduación de honor en programas de grado</x:v>
      </x:c>
      <x:c r="J133" s="12" t="str">
        <x:v>https://www.tec.ac.cr/reglamento-normas-generales-graduacion-tecnologico-costa-rica</x:v>
      </x:c>
      <x:c r="K133" s="12" t="str">
        <x:v>Para obtener esta distinción en los programas de grado, la persona estudiante deberá tener un promedio final ponderado de calificaciones, con los créditos como factor de ponderado final, igual o superior a 90, incluidas las asignaturas aprobadas por suficiencia.</x:v>
      </x:c>
      <x:c r="L133" s="12" t="str">
        <x:v>tec-graduacion::article-7-ter::chunk-001</x:v>
      </x:c>
      <x:c r="M133" s="12" t="str">
        <x:v>tec-graduacion</x:v>
      </x:c>
    </x:row>
    <x:row r="134" ht="92" customHeight="1">
      <x:c r="A134" s="11" t="str">
        <x:v>q027</x:v>
      </x:c>
      <x:c r="B134" s="11" t="str">
        <x:v>multi_section</x:v>
      </x:c>
      <x:c r="C134" s="11" t="str">
        <x:v>F3</x:v>
      </x:c>
      <x:c r="D134" s="11" t="n">
        <x:v>3</x:v>
      </x:c>
      <x:c r="E134" s="14" t="n">
        <x:v>0.8991340398788452</x:v>
      </x:c>
      <x:c r="F134" s="11" t="str">
        <x:v>tec-graduacion::article-7-quater</x:v>
      </x:c>
      <x:c r="G134" s="11" t="str">
        <x:v>No</x:v>
      </x:c>
      <x:c r="H134" s="11" t="str">
        <x:v>No</x:v>
      </x:c>
      <x:c r="I134" s="12" t="str">
        <x:v>Reglamento de Normas Generales de Graduación en el Tecnológico de Costa Rica, Artículo 7 quater: Promedio mínimo para tener graduación de honor en programas de maestría</x:v>
      </x:c>
      <x:c r="J134" s="12" t="str">
        <x:v>https://www.tec.ac.cr/reglamento-normas-generales-graduacion-tecnologico-costa-rica</x:v>
      </x:c>
      <x:c r="K134" s="12" t="str">
        <x:v>Para obtener esta distinción en los programas de posgrado, con grado académico de Maestría, la persona estudiante deberá tener una calificación en cada una de las asignaturas del programa igual o superior a 90, incluidas las asignaturas aprobadas por suficiencia y promedio final ponderado de calificaciones, con los créditos como factor de ponderado final, igual o superior a 95.</x:v>
      </x:c>
      <x:c r="L134" s="12" t="str">
        <x:v>tec-graduacion::article-7-quater::chunk-001</x:v>
      </x:c>
      <x:c r="M134" s="12" t="str">
        <x:v>tec-graduacion</x:v>
      </x:c>
    </x:row>
    <x:row r="135" ht="92" customHeight="1">
      <x:c r="A135" s="11" t="str">
        <x:v>q027</x:v>
      </x:c>
      <x:c r="B135" s="11" t="str">
        <x:v>multi_section</x:v>
      </x:c>
      <x:c r="C135" s="11" t="str">
        <x:v>F4</x:v>
      </x:c>
      <x:c r="D135" s="11" t="n">
        <x:v>4</x:v>
      </x:c>
      <x:c r="E135" s="14" t="n">
        <x:v>0.8926773071289062</x:v>
      </x:c>
      <x:c r="F135" s="11" t="str">
        <x:v>tec-graduacion::article-7-quinquies</x:v>
      </x:c>
      <x:c r="G135" s="11" t="str">
        <x:v>No</x:v>
      </x:c>
      <x:c r="H135" s="11" t="str">
        <x:v>No</x:v>
      </x:c>
      <x:c r="I135" s="12" t="str">
        <x:v>Reglamento de Normas Generales de Graduación en el Tecnológico de Costa Rica, Artículo 7 quinquies: Promedio mínimo para tener graduación de honor en programas de doctorado</x:v>
      </x:c>
      <x:c r="J135" s="12" t="str">
        <x:v>https://www.tec.ac.cr/reglamento-normas-generales-graduacion-tecnologico-costa-rica</x:v>
      </x:c>
      <x:c r="K135" s="12" t="str">
        <x:v>Como requisito para obtener graduación de honor en los programas de posgrado, con grado de Doctorado, deberá cumplir con una nota mínima de 95, según los criterios establecidos por el programa de posgrado al que pertenece la persona estudiante y estos criterios deberán ser avalados por el Consejo de Posgrado.</x:v>
      </x:c>
      <x:c r="L135" s="12" t="str">
        <x:v>tec-graduacion::article-7-quinquies::chunk-001</x:v>
      </x:c>
      <x:c r="M135" s="12" t="str">
        <x:v>tec-graduacion</x:v>
      </x:c>
    </x:row>
    <x:row r="136" ht="92" customHeight="1">
      <x:c r="A136" s="11" t="str">
        <x:v>q027</x:v>
      </x:c>
      <x:c r="B136" s="11" t="str">
        <x:v>multi_section</x:v>
      </x:c>
      <x:c r="C136" s="11" t="str">
        <x:v>F5</x:v>
      </x:c>
      <x:c r="D136" s="11" t="n">
        <x:v>5</x:v>
      </x:c>
      <x:c r="E136" s="14" t="n">
        <x:v>0.8811931610107422</x:v>
      </x:c>
      <x:c r="F136" s="11" t="str">
        <x:v>tec-graduacion::article-7-sexies</x:v>
      </x:c>
      <x:c r="G136" s="11" t="str">
        <x:v>No</x:v>
      </x:c>
      <x:c r="H136" s="11" t="str">
        <x:v>No</x:v>
      </x:c>
      <x:c r="I136" s="12" t="str">
        <x:v>Reglamento de Normas Generales de Graduación en el Tecnológico de Costa Rica, Artículo 7 sexies: Menciones de honor para estudiantes de posgrado</x:v>
      </x:c>
      <x:c r="J136" s="12" t="str">
        <x:v>https://www.tec.ac.cr/reglamento-normas-generales-graduacion-tecnologico-costa-rica</x:v>
      </x:c>
      <x:c r="K136" s="12" t="str">
        <x:v>Cada programa de posgrado podrá definir en su normativa específica menciones de honor con las que podrán ser reconocidos los Trabajos Finales de Graduación de alta calidad, a criterio del tribunal examinador.</x:v>
      </x:c>
      <x:c r="L136" s="12" t="str">
        <x:v>tec-graduacion::article-7-sexies::chunk-001</x:v>
      </x:c>
      <x:c r="M136" s="12" t="str">
        <x:v>tec-graduacion</x:v>
      </x:c>
    </x:row>
    <x:row r="137" ht="92" customHeight="1">
      <x:c r="A137" s="11" t="str">
        <x:v>q028</x:v>
      </x:c>
      <x:c r="B137" s="11" t="str">
        <x:v>multi_section</x:v>
      </x:c>
      <x:c r="C137" s="11" t="str">
        <x:v>F1</x:v>
      </x:c>
      <x:c r="D137" s="11" t="n">
        <x:v>1</x:v>
      </x:c>
      <x:c r="E137" s="14" t="n">
        <x:v>0.8933647274971008</x:v>
      </x:c>
      <x:c r="F137" s="11" t="str">
        <x:v>tec-beca-asistente-investigacion::article-9</x:v>
      </x:c>
      <x:c r="G137" s="11" t="str">
        <x:v>No</x:v>
      </x:c>
      <x:c r="H137" s="11" t="str">
        <x:v>No</x:v>
      </x:c>
      <x:c r="I137" s="12" t="str">
        <x:v>Normativa de Beca del Estudiante Asistente para Proyectos de Investigación y Extensión, Artículo 9</x:v>
      </x:c>
      <x:c r="J137" s="12" t="str">
        <x:v>https://www.tec.ac.cr/normativa-beca-estudiante-asistente-proyectos-investigacion-extension</x:v>
      </x:c>
      <x:c r="K137" s="12" t="str">
        <x:v>Al asignar a un(a) estudiante horas para la beca Estudiante Asistente para Proyectos de Investigación y Extensión el responsable del proyecto le indicará al estudiante las labores que deberá realizar, los alcances de su participación y el horario que deberá cumplir.</x:v>
      </x:c>
      <x:c r="L137" s="12" t="str">
        <x:v>tec-beca-asistente-investigacion::article-9::chunk-001</x:v>
      </x:c>
      <x:c r="M137" s="12" t="str">
        <x:v>tec-beca-asistente-investigacion</x:v>
      </x:c>
    </x:row>
    <x:row r="138" ht="92" customHeight="1">
      <x:c r="A138" s="11" t="str">
        <x:v>q028</x:v>
      </x:c>
      <x:c r="B138" s="11" t="str">
        <x:v>multi_section</x:v>
      </x:c>
      <x:c r="C138" s="11" t="str">
        <x:v>F2</x:v>
      </x:c>
      <x:c r="D138" s="11" t="n">
        <x:v>2</x:v>
      </x:c>
      <x:c r="E138" s="14" t="n">
        <x:v>0.8907195329666138</x:v>
      </x:c>
      <x:c r="F138" s="11" t="str">
        <x:v>tec-beca-asistente-investigacion::article-7</x:v>
      </x:c>
      <x:c r="G138" s="11" t="str">
        <x:v>No</x:v>
      </x:c>
      <x:c r="H138" s="11" t="str">
        <x:v>No</x:v>
      </x:c>
      <x:c r="I138" s="12" t="str">
        <x:v>Normativa de Beca del Estudiante Asistente para Proyectos de Investigación y Extensión, Artículo 7</x:v>
      </x:c>
      <x:c r="J138" s="12" t="str">
        <x:v>https://www.tec.ac.cr/normativa-beca-estudiante-asistente-proyectos-investigacion-extension</x:v>
      </x:c>
      <x:c r="K138" s="12" t="str">
        <x:v>El Estudiante Asistente para Proyectos de Investigación y Extensión recibirá por parte del proyecto específico que lo eligió, una ayuda monetaria o beca mensual por las actividades realizadas y la misma estará en función de la cantidad de horas que el estudiante dedique a dicho proyecto.</x:v>
      </x:c>
      <x:c r="L138" s="12" t="str">
        <x:v>tec-beca-asistente-investigacion::article-7::chunk-001</x:v>
      </x:c>
      <x:c r="M138" s="12" t="str">
        <x:v>tec-beca-asistente-investigacion</x:v>
      </x:c>
    </x:row>
    <x:row r="139" ht="92" customHeight="1">
      <x:c r="A139" s="11" t="str">
        <x:v>q028</x:v>
      </x:c>
      <x:c r="B139" s="11" t="str">
        <x:v>multi_section</x:v>
      </x:c>
      <x:c r="C139" s="11" t="str">
        <x:v>F3</x:v>
      </x:c>
      <x:c r="D139" s="11" t="n">
        <x:v>3</x:v>
      </x:c>
      <x:c r="E139" s="14" t="n">
        <x:v>0.8829611539840698</x:v>
      </x:c>
      <x:c r="F139" s="11" t="str">
        <x:v>tec-beca-asistente-investigacion::article-11</x:v>
      </x:c>
      <x:c r="G139" s="11" t="str">
        <x:v>Sí</x:v>
      </x:c>
      <x:c r="H139" s="11" t="str">
        <x:v>Sí</x:v>
      </x:c>
      <x:c r="I139" s="12" t="str">
        <x:v>Normativa de Beca del Estudiante Asistente para Proyectos de Investigación y Extensión, Artículo 11</x:v>
      </x:c>
      <x:c r="J139" s="12" t="str">
        <x:v>https://www.tec.ac.cr/normativa-beca-estudiante-asistente-proyectos-investigacion-extension</x:v>
      </x:c>
      <x:c r="K139" s="12" t="str">
        <x:v>Serán requisitos para las y los estudiantes que deseen participar como Estudiante Asistente para Proyectos de Investigación y Extensión: Ser estudiante activo del Instituto Tecnológico de Costa Rica Estar dispuesto a dedicar un máximo de 20 horas por semana a las actividades requeridas como apoyo al proyecto de investigación y extensión, con excepción de los estudiantes que cursan trabajo final de graduación y que estos sean parte de un proyecto de investigación o de extensión inscrito en la VIE, en cuyo caso podrán dedicarse hasta por un máximo de 40 horas semanales Cumplir con las especificaciones particulares que establezcan el o los investigadores responsables del proyecto de investigación, extensión y actividad de fortalecimiento a la investigación</x:v>
      </x:c>
      <x:c r="L139" s="12" t="str">
        <x:v>tec-beca-asistente-investigacion::article-11::chunk-001</x:v>
      </x:c>
      <x:c r="M139" s="12" t="str">
        <x:v>tec-beca-asistente-investigacion</x:v>
      </x:c>
    </x:row>
    <x:row r="140" ht="92" customHeight="1">
      <x:c r="A140" s="11" t="str">
        <x:v>q028</x:v>
      </x:c>
      <x:c r="B140" s="11" t="str">
        <x:v>multi_section</x:v>
      </x:c>
      <x:c r="C140" s="11" t="str">
        <x:v>F4</x:v>
      </x:c>
      <x:c r="D140" s="11" t="n">
        <x:v>4</x:v>
      </x:c>
      <x:c r="E140" s="14" t="n">
        <x:v>0.882581353187561</x:v>
      </x:c>
      <x:c r="F140" s="11" t="str">
        <x:v>tec-horas-estudiante-asistente::article-13</x:v>
      </x:c>
      <x:c r="G140" s="11" t="str">
        <x:v>Sí</x:v>
      </x:c>
      <x:c r="H140" s="11" t="str">
        <x:v>Sí</x:v>
      </x:c>
      <x:c r="I140" s="12" t="str">
        <x:v>Reglamento para la Asignación de Horas Estudiante y Horas Asistente en el Instituto Tecnológico de Costa Rica, Artículo 13</x:v>
      </x:c>
      <x:c r="J140" s="12" t="str">
        <x:v>https://www.tec.ac.cr/reglamento-asignacion-horas-estudiante-horas-asistente-instituto-tecnologico-costa-rica</x:v>
      </x:c>
      <x:c r="K140" s="12" t="str">
        <x:v>El mínimo de horas semanales que se podrán asignar a un estudiante por estos conceptos serán de cinco y el máximo de diez, y podrán efectuarse en la oficina del funcionario asistido o fuera de esta, según la índole de la función. El horario a cumplir por el estudiante se establecerá de común acuerdo entre este y el funcionario.</x:v>
      </x:c>
      <x:c r="L140" s="12" t="str">
        <x:v>tec-horas-estudiante-asistente::article-13::chunk-001</x:v>
      </x:c>
      <x:c r="M140" s="12" t="str">
        <x:v>tec-horas-estudiante-asistente</x:v>
      </x:c>
    </x:row>
    <x:row r="141" ht="92" customHeight="1">
      <x:c r="A141" s="11" t="str">
        <x:v>q028</x:v>
      </x:c>
      <x:c r="B141" s="11" t="str">
        <x:v>multi_section</x:v>
      </x:c>
      <x:c r="C141" s="11" t="str">
        <x:v>F5</x:v>
      </x:c>
      <x:c r="D141" s="11" t="n">
        <x:v>5</x:v>
      </x:c>
      <x:c r="E141" s="14" t="n">
        <x:v>0.8823373317718506</x:v>
      </x:c>
      <x:c r="F141" s="11" t="str">
        <x:v>tec-beca-asistente-especial::article-12</x:v>
      </x:c>
      <x:c r="G141" s="11" t="str">
        <x:v>Sí</x:v>
      </x:c>
      <x:c r="H141" s="11" t="str">
        <x:v>Sí</x:v>
      </x:c>
      <x:c r="I141" s="12" t="str">
        <x:v>Reglamento de Beca del Estudiante Asistente Especial del Instituto Tecnológico de Costa Rica, Artículo 12</x:v>
      </x:c>
      <x:c r="J141" s="12" t="str">
        <x:v>https://www.tec.ac.cr/reglamento-beca-estudiante-asistente-especial-instituto-tecnologico-costa-rica</x:v>
      </x:c>
      <x:c r="K141" s="12" t="str">
        <x:v>Las horas por semana que un(a) estudiante beneficiario(a) podrá dedicar para efectuar las actividades mencionadas, será de un mínimo de diez y un máximo de veinte, las cuales el o la estudiante las podrá efectuar en la oficina del o la funcionario(a) responsable o fuera de esta, según la índole de la función. El horario para ello se establecerá de común acuerdo entre el o la estudiante y el o la funcionario(a) respectivo(a).</x:v>
      </x:c>
      <x:c r="L141" s="12" t="str">
        <x:v>tec-beca-asistente-especial::article-12::chunk-001</x:v>
      </x:c>
      <x:c r="M141" s="12" t="str">
        <x:v>tec-beca-asistente-especial</x:v>
      </x:c>
    </x:row>
    <x:row r="142" ht="92" customHeight="1">
      <x:c r="A142" s="11" t="str">
        <x:v>q029</x:v>
      </x:c>
      <x:c r="B142" s="11" t="str">
        <x:v>multi_section</x:v>
      </x:c>
      <x:c r="C142" s="11" t="str">
        <x:v>F1</x:v>
      </x:c>
      <x:c r="D142" s="11" t="n">
        <x:v>1</x:v>
      </x:c>
      <x:c r="E142" s="14" t="n">
        <x:v>0.8804100155830383</x:v>
      </x:c>
      <x:c r="F142" s="11" t="str">
        <x:v>tec-tfg-grado::article-24</x:v>
      </x:c>
      <x:c r="G142" s="11" t="str">
        <x:v>No</x:v>
      </x:c>
      <x:c r="H142" s="11" t="str">
        <x:v>No</x:v>
      </x:c>
      <x:c r="I142" s="12" t="str">
        <x:v>Reforma Integral al Reglamento de Trabajos Finales de Graduación para programas de grado del ITCR, Artículo 24</x:v>
      </x:c>
      <x:c r="J142" s="12" t="str">
        <x:v>https://www.tec.ac.cr/reforma-integral-reglamento-trabajos-finales-graduacion-programas-grado-itcr</x:v>
      </x:c>
      <x:c r="K142" s="12" t="str">
        <x:v>Si el estudiante no estuviera de acuerdo con las resoluciones del profesor tutor, del coordinador o del Tribunal Evaluador, deberá plantear por escrito un recurso de revocatoria dentro de los tres días hábiles siguientes a la comunicación de la resolución. El profesor tutor, el coordinador o el Tribunal Evaluador, dará su respuesta en los cinco días hábiles siguientes. De no quedar satisfecho con la respuesta, el estudiante podrá apelar por escrito ante el director de escuela o el coordinador del área académica en un plazo no mayor de tres días hábiles a partir de la fecha en que vence el período de respuesta del profesor tutor, del coordinador o del Tribunal Evaluador. A su vez, el director de escuela o coordinador de área académica contará con cinco días hábiles para dar su respuesta. De no quedar satisfecho con la respuesta, el estudiante podrá apelar por escrito ante el Consejo de Escuela o de Área Académica, en un plazo no mayor de tres días hábiles a partir de la fecha en que vence el período de respuesta del director de escuela o coordinador de área académica. El Consejo de Escuela o de Área Académica dará su respuesta en los cinco días hábiles siguientes y agotará la vía administrativa.</x:v>
      </x:c>
      <x:c r="L142" s="12" t="str">
        <x:v>tec-tfg-grado::article-24::chunk-001</x:v>
      </x:c>
      <x:c r="M142" s="12" t="str">
        <x:v>tec-tfg-grado</x:v>
      </x:c>
    </x:row>
    <x:row r="143" ht="92" customHeight="1">
      <x:c r="A143" s="11" t="str">
        <x:v>q029</x:v>
      </x:c>
      <x:c r="B143" s="11" t="str">
        <x:v>multi_section</x:v>
      </x:c>
      <x:c r="C143" s="11" t="str">
        <x:v>F2</x:v>
      </x:c>
      <x:c r="D143" s="11" t="n">
        <x:v>2</x:v>
      </x:c>
      <x:c r="E143" s="14" t="n">
        <x:v>0.8796435594558716</x:v>
      </x:c>
      <x:c r="F143" s="11" t="str">
        <x:v>tec-rrea-2025::article-70</x:v>
      </x:c>
      <x:c r="G143" s="11" t="str">
        <x:v>No</x:v>
      </x:c>
      <x:c r="H143" s="11" t="str">
        <x:v>No</x:v>
      </x:c>
      <x:c r="I143" s="12" t="str">
        <x:v>Reglamento del Régimen Enseñanza-Aprendizaje del Instituto Tecnológico de Costa Rica, Artículo 70. De la solicitud de revisión de resultados de las evaluaciones</x:v>
      </x:c>
      <x:c r="J143" s="12" t="str">
        <x:v>https://www.tec.ac.cr/reglamento-regimen-ensenanza-aprendizaje-instituto-tecnologico-costa-rica</x:v>
      </x:c>
      <x:c r="K143" s="12" t="str">
        <x:v>La persona estudiante podrá presentar un recurso de revocatoria a su docente por escrito, por medios físicos o digitales, para solicitar la revisión de la calificación de los instrumentos aplicados en actividades de evaluación, dentro de los tres días hábiles posteriores a la notificación de los resultados obtenidos. La persona docente deberá dar su respuesta durante los tres días hábiles siguientes. En caso de respuesta negativa, la persona estudiante podrá apelar la decisión ante la coordinación de la subdependencia o en su defecto ante la Dirección de la dependencia que imparte la asignatura, en un plazo no mayor a tres días hábiles a partir de la fecha en que vence el período de respuesta de su docente. La Dirección o la Coordinación respectiva deberá resolver la apelación dentro de los cinco días hábiles siguientes. El Consejo de la dependencia o subdependencia respectiva actuará como órgano en alzada, la cual resolverá dentro de los diez días hábiles siguientes y agotará la vía administrativa.</x:v>
      </x:c>
      <x:c r="L143" s="12" t="str">
        <x:v>tec-rrea-2025::article-70::chunk-001</x:v>
      </x:c>
      <x:c r="M143" s="12" t="str">
        <x:v>tec-rrea-2025</x:v>
      </x:c>
    </x:row>
    <x:row r="144" ht="92" customHeight="1">
      <x:c r="A144" s="11" t="str">
        <x:v>q029</x:v>
      </x:c>
      <x:c r="B144" s="11" t="str">
        <x:v>multi_section</x:v>
      </x:c>
      <x:c r="C144" s="11" t="str">
        <x:v>F3</x:v>
      </x:c>
      <x:c r="D144" s="11" t="n">
        <x:v>3</x:v>
      </x:c>
      <x:c r="E144" s="14" t="n">
        <x:v>0.8743561506271362</x:v>
      </x:c>
      <x:c r="F144" s="11" t="str">
        <x:v>tec-rrea-2025::article-68</x:v>
      </x:c>
      <x:c r="G144" s="11" t="str">
        <x:v>No</x:v>
      </x:c>
      <x:c r="H144" s="11" t="str">
        <x:v>No</x:v>
      </x:c>
      <x:c r="I144" s="12" t="str">
        <x:v>Reglamento del Régimen Enseñanza-Aprendizaje del Instituto Tecnológico de Costa Rica, Artículo 68. Del plazo de entrega de resultados de evaluaciones</x:v>
      </x:c>
      <x:c r="J144" s="12" t="str">
        <x:v>https://www.tec.ac.cr/reglamento-regimen-ensenanza-aprendizaje-instituto-tecnologico-costa-rica</x:v>
      </x:c>
      <x:c r="K144" s="12" t="str">
        <x:v>La persona docente comunicará a la persona estudiante los resultados obtenidos en las pruebas de evaluación en los siguientes plazos: a. Orales o de ejecución sincrónicas en las cuales no se cuente con grabación: el mismo día en que se realiza. b. Orales o de ejecución sincrónica o asincrónica en las que se cuente con grabación: en un plazo máximo de diez días hábiles después de efectuada. c. Escritas: en un plazo máximo de diez días hábiles después de efectuada. Se hará excepción en los casos de fuerza mayor en los que medie autorización de la jefatura inmediata para extender hasta 5 días hábiles más la entrega de los resultados, resguardando el derecho del estudiantado a conocer con anticipación a la aplicación de una prueba, el resultado de la anterior. Una vez entregado el instrumento de evaluación calificado, la persona docente debe retroalimentar adecuadamente a las personas estudiantes o entregar la rúbrica o criterios utilizados para su calificación. Además, atenderá consultas puntuales o solicitudes de aclaración que realicen las personas estudiantes. El documento de la prueba de evaluación calificado o el objeto realizado con recursos personales es propiedad de la persona estudiante, excepto en aquellos casos institucionalmente restringidos o así definidos por el Consejo de Docencia o Consejo de Posgrado para lo cual se deberá informarse previamente a la persona estudiante.</x:v>
      </x:c>
      <x:c r="L144" s="12" t="str">
        <x:v>tec-rrea-2025::article-68::chunk-001</x:v>
      </x:c>
      <x:c r="M144" s="12" t="str">
        <x:v>tec-rrea-2025</x:v>
      </x:c>
    </x:row>
    <x:row r="145" ht="92" customHeight="1">
      <x:c r="A145" s="11" t="str">
        <x:v>q029</x:v>
      </x:c>
      <x:c r="B145" s="11" t="str">
        <x:v>multi_section</x:v>
      </x:c>
      <x:c r="C145" s="11" t="str">
        <x:v>F4</x:v>
      </x:c>
      <x:c r="D145" s="11" t="n">
        <x:v>4</x:v>
      </x:c>
      <x:c r="E145" s="14" t="n">
        <x:v>0.8720693588256836</x:v>
      </x:c>
      <x:c r="F145" s="11" t="str">
        <x:v>tec-rrea-2025::article-76</x:v>
      </x:c>
      <x:c r="G145" s="11" t="str">
        <x:v>No</x:v>
      </x:c>
      <x:c r="H145" s="11" t="str">
        <x:v>No</x:v>
      </x:c>
      <x:c r="I145" s="12" t="str">
        <x:v>Reglamento del Régimen Enseñanza-Aprendizaje del Instituto Tecnológico de Costa Rica, Artículo 76. De la revisión de la calificación final de una asignatura</x:v>
      </x:c>
      <x:c r="J145" s="12" t="str">
        <x:v>https://www.tec.ac.cr/reglamento-regimen-ensenanza-aprendizaje-instituto-tecnologico-costa-rica</x:v>
      </x:c>
      <x:c r="K145" s="12" t="str">
        <x:v>Si a criterio de la persona estudiante hay errores aritméticos en el cálculo de la calificación final de la asignatura, podrá solicitar a su docente la revisión de dicha calificación, en un plazo no mayor a tres días hábiles siguientes a la última fecha establecida en el Calendario Institucional y Académico para la de entrega de actas. La persona docente dará su respuesta en los cinco días hábiles siguientes a la presentación de la solicitud de revisión del cálculo aritmético. De no quedar satisfecha con la respuesta, la persona estudiante podrá presentar un recurso de apelación ante el Consejo de la instancia que ofrece el curso en un plazo no mayor a tres días hábiles a partir de la fecha en que vence el período de respuesta de la persona docente, quien resolverá y comunicará a la persona estudiante el resultado, en los cinco días hábiles siguientes, agotando la vía administrativa. Todas las comunicaciones a las que se refiere este artículo deberán transcurrir por escrito a través de medios físicos o digitales oficiales.</x:v>
      </x:c>
      <x:c r="L145" s="12" t="str">
        <x:v>tec-rrea-2025::article-76::chunk-001</x:v>
      </x:c>
      <x:c r="M145" s="12" t="str">
        <x:v>tec-rrea-2025</x:v>
      </x:c>
    </x:row>
    <x:row r="146" ht="92" customHeight="1">
      <x:c r="A146" s="11" t="str">
        <x:v>q029</x:v>
      </x:c>
      <x:c r="B146" s="11" t="str">
        <x:v>multi_section</x:v>
      </x:c>
      <x:c r="C146" s="11" t="str">
        <x:v>F5</x:v>
      </x:c>
      <x:c r="D146" s="11" t="n">
        <x:v>5</x:v>
      </x:c>
      <x:c r="E146" s="14" t="n">
        <x:v>0.8703807592391968</x:v>
      </x:c>
      <x:c r="F146" s="11" t="str">
        <x:v>tec-rrea-2025::article-66</x:v>
      </x:c>
      <x:c r="G146" s="11" t="str">
        <x:v>Sí</x:v>
      </x:c>
      <x:c r="H146" s="11" t="str">
        <x:v>No</x:v>
      </x:c>
      <x:c r="I146" s="12" t="str">
        <x:v>Reglamento del Régimen Enseñanza-Aprendizaje del Instituto Tecnológico de Costa Rica, Artículo 66. De las ausencias justificadas a actividades de evaluación</x:v>
      </x:c>
      <x:c r="J146" s="12" t="str">
        <x:v>https://www.tec.ac.cr/reglamento-regimen-ensenanza-aprendizaje-instituto-tecnologico-costa-rica</x:v>
      </x:c>
      <x:c r="K146" s="12" t="str">
        <x:v>no se consideran suficiente motivo para justificar la ausencia, la persona docente asignará a la persona estudiante la nota mínima de la escala (cero). En caso de que la persona docente no acepte la justificación presentada, la persona estudiante tiene la opción de presentar un recurso de revocatoria ante la persona docente dentro de los cinco días hábiles posteriores al rechazo. La persona docente tendrá cinco días hábiles para resolver. También la persona estudiante podrá interponer ante la Dirección o Coordinación de la dependencia o subdependencia que imparte la asignatura un recurso de apelación, dentro de los cinco días hábiles posteriores a la entrega de la resolución de la revocatoria por parte de la persona docente. La dirección o coordinación cuenta con diez días hábiles para resolver, dando por agotada la vía administrativa. De ser necesario, la Dirección o Coordinación de la dependencia o subdependencia podrá solicitar apoyo a otras instancias institucionales quienes tendrán 5 días hábiles para emitir su criterio, una vez enviada copia del expediente completo.</x:v>
      </x:c>
      <x:c r="L146" s="12" t="str">
        <x:v>tec-rrea-2025::article-66::chunk-002</x:v>
      </x:c>
      <x:c r="M146" s="12" t="str">
        <x:v>tec-rrea-2025</x:v>
      </x:c>
    </x:row>
    <x:row r="147" ht="92" customHeight="1">
      <x:c r="A147" s="11" t="str">
        <x:v>q030</x:v>
      </x:c>
      <x:c r="B147" s="11" t="str">
        <x:v>multi_section</x:v>
      </x:c>
      <x:c r="C147" s="11" t="str">
        <x:v>F1</x:v>
      </x:c>
      <x:c r="D147" s="11" t="n">
        <x:v>1</x:v>
      </x:c>
      <x:c r="E147" s="14" t="n">
        <x:v>0.8911035060882568</x:v>
      </x:c>
      <x:c r="F147" s="11" t="str">
        <x:v>tec-reconocimiento-grados-titulos::article-7</x:v>
      </x:c>
      <x:c r="G147" s="11" t="str">
        <x:v>Sí</x:v>
      </x:c>
      <x:c r="H147" s="11" t="str">
        <x:v>Sí</x:v>
      </x:c>
      <x:c r="I147" s="12" t="str">
        <x:v>Reglamento para el Reconocimiento y Equiparación de Grados y Títulos Tecnológico de Costa Rica, Artículo 7</x:v>
      </x:c>
      <x:c r="J147" s="12" t="str">
        <x:v>https://www.tec.ac.cr/reglamento-reconocimiento-equiparacion-grados-titulos-tecnologico-costa-rica</x:v>
      </x:c>
      <x:c r="K147" s="12" t="str">
        <x:v>Los documentos a que se hace referencia en los incisos b, c, y ch deben ser traducidos al español y los originales deben estar autenticados. Si no hay Cónsul de Costa Rica en el lugar en que se expide el documento, se puede utilizar el procedimiento de terceros países, el cual consiste en buscar un país en el que Costa Rica tenga representación y a su vez éste la tenga en la nación en donde se expide el documento.</x:v>
      </x:c>
      <x:c r="L147" s="12" t="str">
        <x:v>tec-reconocimiento-grados-titulos::article-7::chunk-001</x:v>
      </x:c>
      <x:c r="M147" s="12" t="str">
        <x:v>tec-reconocimiento-grados-titulos</x:v>
      </x:c>
    </x:row>
    <x:row r="148" ht="92" customHeight="1">
      <x:c r="A148" s="11" t="str">
        <x:v>q030</x:v>
      </x:c>
      <x:c r="B148" s="11" t="str">
        <x:v>multi_section</x:v>
      </x:c>
      <x:c r="C148" s="11" t="str">
        <x:v>F2</x:v>
      </x:c>
      <x:c r="D148" s="11" t="n">
        <x:v>2</x:v>
      </x:c>
      <x:c r="E148" s="14" t="n">
        <x:v>0.8792686462402344</x:v>
      </x:c>
      <x:c r="F148" s="11" t="str">
        <x:v>tec-reconocimiento-grados-titulos::article-6</x:v>
      </x:c>
      <x:c r="G148" s="11" t="str">
        <x:v>Sí</x:v>
      </x:c>
      <x:c r="H148" s="11" t="str">
        <x:v>Sí</x:v>
      </x:c>
      <x:c r="I148" s="12" t="str">
        <x:v>Reglamento para el Reconocimiento y Equiparación de Grados y Títulos Tecnológico de Costa Rica, Artículo 6</x:v>
      </x:c>
      <x:c r="J148" s="12" t="str">
        <x:v>https://www.tec.ac.cr/reglamento-reconocimiento-equiparacion-grados-titulos-tecnologico-costa-rica</x:v>
      </x:c>
      <x:c r="K148" s="12" t="str">
        <x:v>s según el grado solicitado para el reconocimiento y(o) equiparación. i. En el caso de solicitudes dirigidas a reconocer y(o) equiparar un posgrado, el solicitante debe presentar original y copia del diploma de grado académico (bachillerato o licenciatura). Si el título es del extranjero debe estar autenticado. j. Cualquier información adicional que solicite el Departamento de Admisión y Registro.</x:v>
      </x:c>
      <x:c r="L148" s="12" t="str">
        <x:v>tec-reconocimiento-grados-titulos::article-6::chunk-002</x:v>
      </x:c>
      <x:c r="M148" s="12" t="str">
        <x:v>tec-reconocimiento-grados-titulos</x:v>
      </x:c>
    </x:row>
    <x:row r="149" ht="92" customHeight="1">
      <x:c r="A149" s="11" t="str">
        <x:v>q030</x:v>
      </x:c>
      <x:c r="B149" s="11" t="str">
        <x:v>multi_section</x:v>
      </x:c>
      <x:c r="C149" s="11" t="str">
        <x:v>F3</x:v>
      </x:c>
      <x:c r="D149" s="11" t="n">
        <x:v>3</x:v>
      </x:c>
      <x:c r="E149" s="14" t="n">
        <x:v>0.8723100423812866</x:v>
      </x:c>
      <x:c r="F149" s="11" t="str">
        <x:v>tec-equiparacion-asignaturas::article-15</x:v>
      </x:c>
      <x:c r="G149" s="11" t="str">
        <x:v>No</x:v>
      </x:c>
      <x:c r="H149" s="11" t="str">
        <x:v>Sí</x:v>
      </x:c>
      <x:c r="I149" s="12" t="str">
        <x:v>Reglamento de Equiparación de Asignaturas del Instituto Tecnológico de Costa Rica, Artículo 15. Documentación proveniente de una institución de educación superior extranjera</x:v>
      </x:c>
      <x:c r="J149" s="12" t="str">
        <x:v>https://www.tec.ac.cr/reglamento-equiparacion-asignaturas-instituto-tecnologico-costa-rica</x:v>
      </x:c>
      <x:c r="K149" s="12" t="str">
        <x:v>Los documentos provenientes de una institución de educación superior extranjera deberán estar debidamente traducidos al español cuando estos sean emitidos en otro idioma. Adicionalmente, cuando los documentos hayan sido emitidos en el extranjero deberán ser debidamente legalizados por el Ministerio de Relaciones Exteriores de Costa Rica, o por el apostillado en el país de origen en caso de estar suscrito al Convenio de La Haya. Cuando los estudios se realizaron como parte de alguno de los programas de movilidad estudiantil del ITCR se exceptúa el requisito del legalizado o apostillado establecido en el párrafo anterior y también de la traducción al español cuando se haya estipulado en el convenio de movilidad un idioma distinto a este. En estos casos, la certificación debe ser enviada directamente por la universidad socia a la dependencia institucional que indique el procedimiento respectivo. Artículo modificado mediante Sesión del Consejo Institucional, Sesión Ordinaria No. 3409, Artículo 10, del 28 de mayo del 2025. Publicado en Gaceta No. 1288, lunes 2 de junio del 2025.</x:v>
      </x:c>
      <x:c r="L149" s="12" t="str">
        <x:v>tec-equiparacion-asignaturas::article-15::chunk-001</x:v>
      </x:c>
      <x:c r="M149" s="12" t="str">
        <x:v>tec-equiparacion-asignaturas</x:v>
      </x:c>
    </x:row>
    <x:row r="150" ht="92" customHeight="1">
      <x:c r="A150" s="11" t="str">
        <x:v>q030</x:v>
      </x:c>
      <x:c r="B150" s="11" t="str">
        <x:v>multi_section</x:v>
      </x:c>
      <x:c r="C150" s="11" t="str">
        <x:v>F4</x:v>
      </x:c>
      <x:c r="D150" s="11" t="n">
        <x:v>4</x:v>
      </x:c>
      <x:c r="E150" s="14" t="n">
        <x:v>0.8682887554168701</x:v>
      </x:c>
      <x:c r="F150" s="11" t="str">
        <x:v>tec-reconocimiento-grados-titulos::article-5</x:v>
      </x:c>
      <x:c r="G150" s="11" t="str">
        <x:v>No</x:v>
      </x:c>
      <x:c r="H150" s="11" t="str">
        <x:v>No</x:v>
      </x:c>
      <x:c r="I150" s="12" t="str">
        <x:v>Reglamento para el Reconocimiento y Equiparación de Grados y Títulos Tecnológico de Costa Rica, Artículo 5</x:v>
      </x:c>
      <x:c r="J150" s="12" t="str">
        <x:v>https://www.tec.ac.cr/reglamento-reconocimiento-equiparacion-grados-titulos-tecnologico-costa-rica</x:v>
      </x:c>
      <x:c r="K150" s="12" t="str">
        <x:v>El ITCR sólo reconoce y(o) equipara títulos y grados académicos de Instituciones de Educación Superior Extranjeras acreditadas en su país de origen.</x:v>
      </x:c>
      <x:c r="L150" s="12" t="str">
        <x:v>tec-reconocimiento-grados-titulos::article-5::chunk-001</x:v>
      </x:c>
      <x:c r="M150" s="12" t="str">
        <x:v>tec-reconocimiento-grados-titulos</x:v>
      </x:c>
    </x:row>
    <x:row r="151" ht="92" customHeight="1">
      <x:c r="A151" s="11" t="str">
        <x:v>q030</x:v>
      </x:c>
      <x:c r="B151" s="11" t="str">
        <x:v>multi_section</x:v>
      </x:c>
      <x:c r="C151" s="11" t="str">
        <x:v>F5</x:v>
      </x:c>
      <x:c r="D151" s="11" t="n">
        <x:v>5</x:v>
      </x:c>
      <x:c r="E151" s="14" t="n">
        <x:v>0.8645920753479004</x:v>
      </x:c>
      <x:c r="F151" s="11" t="str">
        <x:v>tec-reconocimiento-grados-titulos::article-8</x:v>
      </x:c>
      <x:c r="G151" s="11" t="str">
        <x:v>No</x:v>
      </x:c>
      <x:c r="H151" s="11" t="str">
        <x:v>Sí</x:v>
      </x:c>
      <x:c r="I151" s="12" t="str">
        <x:v>Reglamento para el Reconocimiento y Equiparación de Grados y Títulos Tecnológico de Costa Rica, Artículo 8</x:v>
      </x:c>
      <x:c r="J151" s="12" t="str">
        <x:v>https://www.tec.ac.cr/reglamento-reconocimiento-equiparacion-grados-titulos-tecnologico-costa-rica</x:v>
      </x:c>
      <x:c r="K151" s="12" t="str">
        <x:v>Las autenticaciones deben realizarse en los documentos originales, excepto cuando la institución que expide el documento certifique que una copia es fiel y exacta del documento original emitido. Esta certificación debe ser dada por una autoridad competente de la misma institución. La secuencia de autenticación de firmas debe ser la siguiente: a. Firma de la persona autorizada de la Oficina Legal de la Universidad en la que se obtuvo el diploma, dando fe de la oficialidad de la documentación. b. Firma de la autoridad competente gubernamental avalando la firma anterior. Esta firma debe existir cuando el Consulado de Costa Rica en el país donde se realizan los estudios así lo requiera. c. Firma del Cónsul de Costa Rica en el país en que obtuvo su título el interesado. ch. Firma autorizada del Ministerio de Relaciones Exteriores y Culto de Costa Rica avalando la firma del Cónsul.</x:v>
      </x:c>
      <x:c r="L151" s="12" t="str">
        <x:v>tec-reconocimiento-grados-titulos::article-8::chunk-001</x:v>
      </x:c>
      <x:c r="M151" s="12" t="str">
        <x:v>tec-reconocimiento-grados-titulos</x:v>
      </x:c>
    </x:row>
    <x:row r="152" ht="92" customHeight="1">
      <x:c r="A152" s="11" t="str">
        <x:v>q031</x:v>
      </x:c>
      <x:c r="B152" s="11" t="str">
        <x:v>multi_section</x:v>
      </x:c>
      <x:c r="C152" s="11" t="str">
        <x:v>F1</x:v>
      </x:c>
      <x:c r="D152" s="11" t="n">
        <x:v>1</x:v>
      </x:c>
      <x:c r="E152" s="14" t="n">
        <x:v>0.9076924920082092</x:v>
      </x:c>
      <x:c r="F152" s="11" t="str">
        <x:v>tec-hostigamiento-sexual::article-29</x:v>
      </x:c>
      <x:c r="G152" s="11" t="str">
        <x:v>No</x:v>
      </x:c>
      <x:c r="H152" s="11" t="str">
        <x:v>Sí</x:v>
      </x:c>
      <x:c r="I152" s="12" t="str">
        <x:v>Reglamento Contra El Hostigamiento Sexual en el Empleo y la Academia en el Instituto Tecnológico de Costa Rica, Artículo 29: De la ampliación de la denuncia</x:v>
      </x:c>
      <x:c r="J152" s="12" t="str">
        <x:v>https://www.tec.ac.cr/reglamento-hostigamiento-sexual-empleo-academia-instituto-tecnologico-costa-rica-0</x:v>
      </x:c>
      <x:c r="K152" s="12" t="str">
        <x:v>La Comisión Investigadora podrá solicitar por escrito la aclaración o ampliación que considere necesaria a la persona denunciante, luego de recibida la denuncia, otorgando un plazo de tres días hábiles para que amplíe o aclare ante la comisión los términos de la denuncia.</x:v>
      </x:c>
      <x:c r="L152" s="12" t="str">
        <x:v>tec-hostigamiento-sexual::article-29::chunk-001</x:v>
      </x:c>
      <x:c r="M152" s="12" t="str">
        <x:v>tec-hostigamiento-sexual</x:v>
      </x:c>
    </x:row>
    <x:row r="153" ht="92" customHeight="1">
      <x:c r="A153" s="11" t="str">
        <x:v>q031</x:v>
      </x:c>
      <x:c r="B153" s="11" t="str">
        <x:v>multi_section</x:v>
      </x:c>
      <x:c r="C153" s="11" t="str">
        <x:v>F2</x:v>
      </x:c>
      <x:c r="D153" s="11" t="n">
        <x:v>2</x:v>
      </x:c>
      <x:c r="E153" s="14" t="n">
        <x:v>0.9022425413131714</x:v>
      </x:c>
      <x:c r="F153" s="11" t="str">
        <x:v>tec-hostigamiento-sexual::article-30</x:v>
      </x:c>
      <x:c r="G153" s="11" t="str">
        <x:v>Sí</x:v>
      </x:c>
      <x:c r="H153" s="11" t="str">
        <x:v>Sí</x:v>
      </x:c>
      <x:c r="I153" s="12" t="str">
        <x:v>Reglamento Contra El Hostigamiento Sexual en el Empleo y la Academia en el Instituto Tecnológico de Costa Rica, Artículo 30</x:v>
      </x:c>
      <x:c r="J153" s="12" t="str">
        <x:v>https://www.tec.ac.cr/reglamento-hostigamiento-sexual-empleo-academia-instituto-tecnologico-costa-rica-0</x:v>
      </x:c>
      <x:c r="K153" s="12" t="str">
        <x:v>Término de emplazamiento a la persona denunciada Una vez realizada la ampliación de la denuncia, dentro del plazo de dos días hábiles posteriores a la misma, la Comisión investigadora dará traslado a la persona denunciada, concediéndole un plazo de ocho días hábiles, para que se refiera por escrito a todos y cada uno de los hechos que se le imputan, ofrezca la prueba de descargo, y señale medio donde se le pueda notificar. Cuando la persona denunciada ofrezca prueba testimonial debe indicar el nombre y calidades de las personas que ofrece como testigos. Cuando presente prueba documental o pericial que se encuentre en poder de la Institución, debe señalar donde puede ser revisada esa prueba y corresponde a la Comisión Investigadora solicitarla para los efectos correspondientes. En caso de que la persona denunciada no presente su descargo en el plazo establecido, podrá hacerlo en la audiencia misma. Si así no lo hace, el proceso continuará hasta la etapa final, sin que por ello pierda su derecho a presentar los recursos correspondientes.</x:v>
      </x:c>
      <x:c r="L153" s="12" t="str">
        <x:v>tec-hostigamiento-sexual::article-30::chunk-001</x:v>
      </x:c>
      <x:c r="M153" s="12" t="str">
        <x:v>tec-hostigamiento-sexual</x:v>
      </x:c>
    </x:row>
    <x:row r="154" ht="92" customHeight="1">
      <x:c r="A154" s="11" t="str">
        <x:v>q031</x:v>
      </x:c>
      <x:c r="B154" s="11" t="str">
        <x:v>multi_section</x:v>
      </x:c>
      <x:c r="C154" s="11" t="str">
        <x:v>F3</x:v>
      </x:c>
      <x:c r="D154" s="11" t="n">
        <x:v>3</x:v>
      </x:c>
      <x:c r="E154" s="14" t="n">
        <x:v>0.8901951313018799</x:v>
      </x:c>
      <x:c r="F154" s="11" t="str">
        <x:v>tec-no-discriminacion::article-34</x:v>
      </x:c>
      <x:c r="G154" s="11" t="str">
        <x:v>No</x:v>
      </x:c>
      <x:c r="H154" s="11" t="str">
        <x:v>Sí</x:v>
      </x:c>
      <x:c r="I154" s="12" t="str">
        <x:v>Reglamento contra la discriminación por orientación sexual e identidad de género del ITCR, Artículo 34. Ampliación o aclaración de la denuncia</x:v>
      </x:c>
      <x:c r="J154" s="12" t="str">
        <x:v>https://www.tec.ac.cr/reglamento-instituto-tecnologico-costa-rica-discriminacion-orientacion-sexual-identidad-expresion</x:v>
      </x:c>
      <x:c r="K154" s="12" t="str">
        <x:v>Una vez recibida la denuncia, la Comisión Investigadora, si así lo considera necesario, le otorgará a la persona denunciante un plazo de tres días hábiles para que se presente a ampliar o aclarar la denuncia.</x:v>
      </x:c>
      <x:c r="L154" s="12" t="str">
        <x:v>tec-no-discriminacion::article-34::chunk-001</x:v>
      </x:c>
      <x:c r="M154" s="12" t="str">
        <x:v>tec-no-discriminacion</x:v>
      </x:c>
    </x:row>
    <x:row r="155" ht="92" customHeight="1">
      <x:c r="A155" s="11" t="str">
        <x:v>q031</x:v>
      </x:c>
      <x:c r="B155" s="11" t="str">
        <x:v>multi_section</x:v>
      </x:c>
      <x:c r="C155" s="11" t="str">
        <x:v>F4</x:v>
      </x:c>
      <x:c r="D155" s="11" t="n">
        <x:v>4</x:v>
      </x:c>
      <x:c r="E155" s="14" t="n">
        <x:v>0.8863343000411987</x:v>
      </x:c>
      <x:c r="F155" s="11" t="str">
        <x:v>tec-hostigamiento-sexual::article-31</x:v>
      </x:c>
      <x:c r="G155" s="11" t="str">
        <x:v>No</x:v>
      </x:c>
      <x:c r="H155" s="11" t="str">
        <x:v>No</x:v>
      </x:c>
      <x:c r="I155" s="12" t="str">
        <x:v>Reglamento Contra El Hostigamiento Sexual en el Empleo y la Academia en el Instituto Tecnológico de Costa Rica, Artículo 31</x:v>
      </x:c>
      <x:c r="J155" s="12" t="str">
        <x:v>https://www.tec.ac.cr/reglamento-hostigamiento-sexual-empleo-academia-instituto-tecnologico-costa-rica-0</x:v>
      </x:c>
      <x:c r="K155" s="12" t="str">
        <x:v>Notificación Tanto la persona denunciante como la denunciada deberán señalar correo electrónico personal, fax u otro medio donde se le pueda notificar. Si la persona denunciada omite el lugar para notificaciones o fuere impreciso o incierto, las resoluciones que se dicten quedarán por notificadas en un plazo de 24 horas.</x:v>
      </x:c>
      <x:c r="L155" s="12" t="str">
        <x:v>tec-hostigamiento-sexual::article-31::chunk-001</x:v>
      </x:c>
      <x:c r="M155" s="12" t="str">
        <x:v>tec-hostigamiento-sexual</x:v>
      </x:c>
    </x:row>
    <x:row r="156" ht="92" customHeight="1">
      <x:c r="A156" s="11" t="str">
        <x:v>q031</x:v>
      </x:c>
      <x:c r="B156" s="11" t="str">
        <x:v>multi_section</x:v>
      </x:c>
      <x:c r="C156" s="11" t="str">
        <x:v>F5</x:v>
      </x:c>
      <x:c r="D156" s="11" t="n">
        <x:v>5</x:v>
      </x:c>
      <x:c r="E156" s="14" t="n">
        <x:v>0.8831514120101929</x:v>
      </x:c>
      <x:c r="F156" s="11" t="str">
        <x:v>tec-hostigamiento-sexual::article-3</x:v>
      </x:c>
      <x:c r="G156" s="11" t="str">
        <x:v>No</x:v>
      </x:c>
      <x:c r="H156" s="11" t="str">
        <x:v>No</x:v>
      </x:c>
      <x:c r="I156" s="12" t="str">
        <x:v>Reglamento Contra El Hostigamiento Sexual en el Empleo y la Academia en el Instituto Tecnológico de Costa Rica, Artículo 3: Definiciones</x:v>
      </x:c>
      <x:c r="J156" s="12" t="str">
        <x:v>https://www.tec.ac.cr/reglamento-hostigamiento-sexual-empleo-academia-instituto-tecnologico-costa-rica-0</x:v>
      </x:c>
      <x:c r="K156" s="12" t="str">
        <x:v>trabajo y/o educativo de una persona: se refiere a todas las acciones que afectan el desarrollo normal de las actividades laborales y académicas, que resultan en conductas tales como, baja eficiencia, ausencia, incapacidades, desmotivación, disminución en el rendimiento académico, no cumplimiento con los requisitos del curso y otros que se consideran producto de los efectos del hostigamiento sexual. e. El estado general de bienestar personal: son todas las acciones que afectan negativamente el estado general, a nivel físico, emocional y/o psicológico, de aquellas personas que sufren hostigamiento sexual. f. Persona denunciada: la persona que se le atribuye a través de una denuncia formal una presunta conducta de Hostigamiento Sexual. g. Persona denunciante: la persona que sea víctima de hostigamiento sexual y denuncie estar recibiendo esas conductas. La persona denunciante dentro de un proceso de denuncia por hostigamiento sexual siempre debe ser considerada como parte del proceso. h. Represalias: daño que se hace a otra persona por venganza o para satisfacer un agravio, incluye amenazas, intimidación, chantaje, o cualquier otra acción adversa que pudiese afectar la relación laboral o académica, la investigación o resolución de la denuncia por Hostigamiento Sexual.</x:v>
      </x:c>
      <x:c r="L156" s="12" t="str">
        <x:v>tec-hostigamiento-sexual::article-3::chunk-002</x:v>
      </x:c>
      <x:c r="M156" s="12" t="str">
        <x:v>tec-hostigamiento-sexual</x:v>
      </x:c>
    </x:row>
    <x:row r="157" ht="92" customHeight="1">
      <x:c r="A157" s="11" t="str">
        <x:v>q032</x:v>
      </x:c>
      <x:c r="B157" s="11" t="str">
        <x:v>multi_section</x:v>
      </x:c>
      <x:c r="C157" s="11" t="str">
        <x:v>F1</x:v>
      </x:c>
      <x:c r="D157" s="11" t="n">
        <x:v>1</x:v>
      </x:c>
      <x:c r="E157" s="14" t="n">
        <x:v>0.8850816488265991</x:v>
      </x:c>
      <x:c r="F157" s="11" t="str">
        <x:v>tec-no-discriminacion::article-33</x:v>
      </x:c>
      <x:c r="G157" s="11" t="str">
        <x:v>Sí</x:v>
      </x:c>
      <x:c r="H157" s="11" t="str">
        <x:v>Sí</x:v>
      </x:c>
      <x:c r="I157" s="12" t="str">
        <x:v>Reglamento contra la discriminación por orientación sexual e identidad de género del ITCR, Artículo 33. Solicitud de medidas de protección o cautelares</x:v>
      </x:c>
      <x:c r="J157" s="12" t="str">
        <x:v>https://www.tec.ac.cr/reglamento-instituto-tecnologico-costa-rica-discriminacion-orientacion-sexual-identidad-expresion</x:v>
      </x:c>
      <x:c r="K157" s="12" t="str">
        <x:v>Las medidas de protección o cautelares tienen como fin el proteger y garantizar, provisionalmente, el objeto del proceso y la efectividad de la resolución final, así como garantizar la integridad física, emocional y psicológica de la persona denunciante y evitar graves daños o perjuicios, actuales o potenciales, de la situación aducida, y siempre que la pretensión no sea temeraria o, en forma palmaria, carente de seriedad. Razón por la cual, para su otorgamiento, las mismas deben cumplir con los presupuestos legales de apariencia de buen derecho, peligro en la demora y ponderación de intereses en juego. Le corresponderá a la Comisión Investigadora tramitar la solicitud de medidas cautelares a la Rectoría cuando la persona es funcionaria o a la Vicerrectoría de Vida Estudiantil y Servicios Académicos cuando la persona es estudiante. La Comisión Investigadora puede recomendar a las autoridades correspondientes, entre otras las siguientes: a. Que la persona denunciada se abstenga de perturbar, acercarse o tomar represalias contra la persona denunciante y las personas que testificarán. b. La reubicación del puesto de trabajo o reubicación de un curso académico mientras la investigación esté en proceso. c. Cuando la persona denunciada es funcionaria, la separación temporal del cargo con goce salarial, mientras se realiza la investigación y resolución del caso. d. Cualquier otra necesaria o complementaria para garantizar la protección de la persona denunciante y las personas que atestiguan, garantizando los derechos de todas las partes. Deberán resolverse con carácter de urgencia y su vigencia será determinada según cada caso.</x:v>
      </x:c>
      <x:c r="L157" s="12" t="str">
        <x:v>tec-no-discriminacion::article-33::chunk-001</x:v>
      </x:c>
      <x:c r="M157" s="12" t="str">
        <x:v>tec-no-discriminacion</x:v>
      </x:c>
    </x:row>
    <x:row r="158" ht="92" customHeight="1">
      <x:c r="A158" s="11" t="str">
        <x:v>q032</x:v>
      </x:c>
      <x:c r="B158" s="11" t="str">
        <x:v>multi_section</x:v>
      </x:c>
      <x:c r="C158" s="11" t="str">
        <x:v>F2</x:v>
      </x:c>
      <x:c r="D158" s="11" t="n">
        <x:v>2</x:v>
      </x:c>
      <x:c r="E158" s="14" t="n">
        <x:v>0.8785449266433716</x:v>
      </x:c>
      <x:c r="F158" s="11" t="str">
        <x:v>tec-no-discriminacion::article-30</x:v>
      </x:c>
      <x:c r="G158" s="11" t="str">
        <x:v>Sí</x:v>
      </x:c>
      <x:c r="H158" s="11" t="str">
        <x:v>Sí</x:v>
      </x:c>
      <x:c r="I158" s="12" t="str">
        <x:v>Reglamento contra la discriminación por orientación sexual e identidad de género del ITCR, Artículo 30. Presentación de la denuncia</x:v>
      </x:c>
      <x:c r="J158" s="12" t="str">
        <x:v>https://www.tec.ac.cr/reglamento-instituto-tecnologico-costa-rica-discriminacion-orientacion-sexual-identidad-expresion</x:v>
      </x:c>
      <x:c r="K158" s="12" t="str">
        <x:v>Todas las personas que cubra este reglamento pueden interponer la denuncia por discriminación por orientación sexual, identidad y expresión de género. Serán presentadas en la Fiscalía contra la discriminación por orientación sexual, identidad y expresión de género. La denuncia podrá ser presentada de manera presencial o firmada digitalmente cuando el caso amerite. Esta debe estar firmada tanto por la persona denunciante y la persona que la recibe. La denuncia presentada deberá indicar: a. Nombre completo de quien interpone la denuncia, número de cédula, edad, dependencia de trabajo o estudio cuando corresponda, domicilio exacto. b. Nombre completo de la persona denunciada, lugar de trabajo o estudio, otros como calidades y dirección exacta cuando sean del conocimiento de la persona que interpone la denuncia. c. Descripción de la relación entre las partes. d. Descripción clara y detallada de los hechos, con mención de la fecha y lugar. e. Presentación de cualquier prueba que a su juicio sirve de comprobación de los hechos denunciados, sin perjuicio que pueda presentar otras pruebas en la audiencia. f. Nombre y calidades de las personas que puedan atestiguar sobre los hechos denunciados con la indicación de dónde pueden ser localizadas o el medio para contactarlas g. Solicitud de medidas cautelares cuando se consideren pertinentes. h. Lugar de notificación, especificando una dirección física, un número de fax, un correo electrónico, o un lugar dentro del mismo Instituto Tecnológico de Costa Rica para que reciba notificaciones. i. Fecha y firmas de la persona denunciante y de quien ejerce la Fiscalía.</x:v>
      </x:c>
      <x:c r="L158" s="12" t="str">
        <x:v>tec-no-discriminacion::article-30::chunk-001</x:v>
      </x:c>
      <x:c r="M158" s="12" t="str">
        <x:v>tec-no-discriminacion</x:v>
      </x:c>
    </x:row>
    <x:row r="159" ht="92" customHeight="1">
      <x:c r="A159" s="11" t="str">
        <x:v>q032</x:v>
      </x:c>
      <x:c r="B159" s="11" t="str">
        <x:v>multi_section</x:v>
      </x:c>
      <x:c r="C159" s="11" t="str">
        <x:v>F3</x:v>
      </x:c>
      <x:c r="D159" s="11" t="n">
        <x:v>3</x:v>
      </x:c>
      <x:c r="E159" s="14" t="n">
        <x:v>0.8640568256378174</x:v>
      </x:c>
      <x:c r="F159" s="11" t="str">
        <x:v>tec-no-discriminacion::article-35</x:v>
      </x:c>
      <x:c r="G159" s="11" t="str">
        <x:v>No</x:v>
      </x:c>
      <x:c r="H159" s="11" t="str">
        <x:v>No</x:v>
      </x:c>
      <x:c r="I159" s="12" t="str">
        <x:v>Reglamento contra la discriminación por orientación sexual e identidad de género del ITCR, Artículo 35. Traslado de cargos</x:v>
      </x:c>
      <x:c r="J159" s="12" t="str">
        <x:v>https://www.tec.ac.cr/reglamento-instituto-tecnologico-costa-rica-discriminacion-orientacion-sexual-identidad-expresion</x:v>
      </x:c>
      <x:c r="K159" s="12" t="str">
        <x:v>s después de su notificación a la persona denunciada para que se refiera por escrito a todos y cada uno de los hechos que se le imputan. En el caso de que la persona denunciada no ejerza su defensa, puede hacerlo en la audiencia oral y privada que se señale, si así no lo hace el proceso continuará hasta la etapa final, sin que por ello pierda su derecho a presentar los recursos correspondientes.</x:v>
      </x:c>
      <x:c r="L159" s="12" t="str">
        <x:v>tec-no-discriminacion::article-35::chunk-002</x:v>
      </x:c>
      <x:c r="M159" s="12" t="str">
        <x:v>tec-no-discriminacion</x:v>
      </x:c>
    </x:row>
    <x:row r="160" ht="92" customHeight="1">
      <x:c r="A160" s="11" t="str">
        <x:v>q032</x:v>
      </x:c>
      <x:c r="B160" s="11" t="str">
        <x:v>multi_section</x:v>
      </x:c>
      <x:c r="C160" s="11" t="str">
        <x:v>F4</x:v>
      </x:c>
      <x:c r="D160" s="11" t="n">
        <x:v>4</x:v>
      </x:c>
      <x:c r="E160" s="14" t="n">
        <x:v>0.8577317595481873</x:v>
      </x:c>
      <x:c r="F160" s="11" t="str">
        <x:v>tec-no-discriminacion::article-34</x:v>
      </x:c>
      <x:c r="G160" s="11" t="str">
        <x:v>No</x:v>
      </x:c>
      <x:c r="H160" s="11" t="str">
        <x:v>No</x:v>
      </x:c>
      <x:c r="I160" s="12" t="str">
        <x:v>Reglamento contra la discriminación por orientación sexual e identidad de género del ITCR, Artículo 34. Ampliación o aclaración de la denuncia</x:v>
      </x:c>
      <x:c r="J160" s="12" t="str">
        <x:v>https://www.tec.ac.cr/reglamento-instituto-tecnologico-costa-rica-discriminacion-orientacion-sexual-identidad-expresion</x:v>
      </x:c>
      <x:c r="K160" s="12" t="str">
        <x:v>Una vez recibida la denuncia, la Comisión Investigadora, si así lo considera necesario, le otorgará a la persona denunciante un plazo de tres días hábiles para que se presente a ampliar o aclarar la denuncia.</x:v>
      </x:c>
      <x:c r="L160" s="12" t="str">
        <x:v>tec-no-discriminacion::article-34::chunk-001</x:v>
      </x:c>
      <x:c r="M160" s="12" t="str">
        <x:v>tec-no-discriminacion</x:v>
      </x:c>
    </x:row>
    <x:row r="161" ht="92" customHeight="1">
      <x:c r="A161" s="11" t="str">
        <x:v>q032</x:v>
      </x:c>
      <x:c r="B161" s="11" t="str">
        <x:v>multi_section</x:v>
      </x:c>
      <x:c r="C161" s="11" t="str">
        <x:v>F5</x:v>
      </x:c>
      <x:c r="D161" s="11" t="n">
        <x:v>5</x:v>
      </x:c>
      <x:c r="E161" s="14" t="n">
        <x:v>0.8576630353927612</x:v>
      </x:c>
      <x:c r="F161" s="11" t="str">
        <x:v>tec-hostigamiento-sexual::article-37</x:v>
      </x:c>
      <x:c r="G161" s="11" t="str">
        <x:v>No</x:v>
      </x:c>
      <x:c r="H161" s="11" t="str">
        <x:v>No</x:v>
      </x:c>
      <x:c r="I161" s="12" t="str">
        <x:v>Reglamento Contra El Hostigamiento Sexual en el Empleo y la Academia en el Instituto Tecnológico de Costa Rica, Artículo 37</x:v>
      </x:c>
      <x:c r="J161" s="12" t="str">
        <x:v>https://www.tec.ac.cr/reglamento-hostigamiento-sexual-empleo-academia-instituto-tecnologico-costa-rica-0</x:v>
      </x:c>
      <x:c r="K161" s="12" t="str">
        <x:v>Medidas cautelares En caso de que la persona denunciante sea funcionaria del ITCR y considere necesaria su reubicación temporal en otra dependencia de la Institución, podrá solicitarla en cualquier momento del proceso ante la Comisión Investigadora, la cual trasladará la solicitud al Departamento de Gestión del Talento Humano para que tramite la reubicación, con copia a la Comisión Institucional. Así mismo podrá definirse un traslado o suspensión con goce de salario de la persona denunciada. Así reformado por acuerdo del Consejo Institucional, Sesión Ordinaria Número 3263, Artículo 14 del 11 de mayo del 2022. Publicado en fecha 17 de mayo del 2022 mediante la Gaceta Número 917-2022 de fecha 16 de mayo del 2022. En caso de estudiantes, podrán solicitar cambio de grupo u otra medida cautelar en resguardo de su derecho e integridad. Esta medida deberá ser tomada por la Comisión Investigadora, quien la trasladará a la instancia correspondiente para que tramite la reubicación de la persona solicitante.</x:v>
      </x:c>
      <x:c r="L161" s="12" t="str">
        <x:v>tec-hostigamiento-sexual::article-37::chunk-001</x:v>
      </x:c>
      <x:c r="M161" s="12" t="str">
        <x:v>tec-hostigamiento-sexual</x:v>
      </x:c>
    </x:row>
    <x:row r="162" ht="92" customHeight="1">
      <x:c r="A162" s="11" t="str">
        <x:v>q033</x:v>
      </x:c>
      <x:c r="B162" s="11" t="str">
        <x:v>multi_section</x:v>
      </x:c>
      <x:c r="C162" s="11" t="str">
        <x:v>F1</x:v>
      </x:c>
      <x:c r="D162" s="11" t="n">
        <x:v>1</x:v>
      </x:c>
      <x:c r="E162" s="14" t="n">
        <x:v>0.9018812775611877</x:v>
      </x:c>
      <x:c r="F162" s="11" t="str">
        <x:v>tec-tercer-representante-estudiantil::article-5</x:v>
      </x:c>
      <x:c r="G162" s="11" t="str">
        <x:v>No</x:v>
      </x:c>
      <x:c r="H162" s="11" t="str">
        <x:v>No</x:v>
      </x:c>
      <x:c r="I162" s="12" t="str">
        <x:v>Reglamento para la Elección del Tercer Representante y Tercer Suplente Estudiantil ante el Consejo Institucional, ARTÍCULO 5</x:v>
      </x:c>
      <x:c r="J162" s="12" t="str">
        <x:v>https://www.tec.ac.cr/reglamento-eleccion-tercer-representante-tercer-suplente-estudiantil-consejo-institucional</x:v>
      </x:c>
      <x:c r="K162" s="12" t="str">
        <x:v>El Consejo Ejecutivo contará con 5 votos que se deberán destinar de la siguiente manera: 1. Un voto para el presidente. 2. Un voto para 4 Miembros nombrados del Consejo.</x:v>
      </x:c>
      <x:c r="L162" s="12" t="str">
        <x:v>tec-tercer-representante-estudiantil::article-5::chunk-001</x:v>
      </x:c>
      <x:c r="M162" s="12" t="str">
        <x:v>tec-tercer-representante-estudiantil</x:v>
      </x:c>
    </x:row>
    <x:row r="163" ht="92" customHeight="1">
      <x:c r="A163" s="11" t="str">
        <x:v>q033</x:v>
      </x:c>
      <x:c r="B163" s="11" t="str">
        <x:v>multi_section</x:v>
      </x:c>
      <x:c r="C163" s="11" t="str">
        <x:v>F2</x:v>
      </x:c>
      <x:c r="D163" s="11" t="n">
        <x:v>2</x:v>
      </x:c>
      <x:c r="E163" s="14" t="n">
        <x:v>0.9012405872344971</x:v>
      </x:c>
      <x:c r="F163" s="11" t="str">
        <x:v>tec-codigo-electoral-estudiantil::article-11</x:v>
      </x:c>
      <x:c r="G163" s="11" t="str">
        <x:v>Sí</x:v>
      </x:c>
      <x:c r="H163" s="11" t="str">
        <x:v>Sí</x:v>
      </x:c>
      <x:c r="I163" s="12" t="str">
        <x:v>Código Electoral Estudiantil del Tecnológico de Costa Rica, Artículo 11</x:v>
      </x:c>
      <x:c r="J163" s="12" t="str">
        <x:v>https://www.tec.ac.cr/codigo-electoral-estudiantil-tecnologico-costa-rica</x:v>
      </x:c>
      <x:c r="K163" s="12" t="str">
        <x:v>El proceso electoral se realizará según el calendario efectuado por el Tribunal Electoral Estudiantil una vez aprobado por el Plenario de Asociaciones de Estudiantes. La declaratoria oficial del proceso electoral deberá darse a más tardar la última semana de abril.</x:v>
      </x:c>
      <x:c r="L163" s="12" t="str">
        <x:v>tec-codigo-electoral-estudiantil::article-11::chunk-001</x:v>
      </x:c>
      <x:c r="M163" s="12" t="str">
        <x:v>tec-codigo-electoral-estudiantil</x:v>
      </x:c>
    </x:row>
    <x:row r="164" ht="92" customHeight="1">
      <x:c r="A164" s="11" t="str">
        <x:v>q033</x:v>
      </x:c>
      <x:c r="B164" s="11" t="str">
        <x:v>multi_section</x:v>
      </x:c>
      <x:c r="C164" s="11" t="str">
        <x:v>F3</x:v>
      </x:c>
      <x:c r="D164" s="11" t="n">
        <x:v>3</x:v>
      </x:c>
      <x:c r="E164" s="14" t="n">
        <x:v>0.900534987449646</x:v>
      </x:c>
      <x:c r="F164" s="11" t="str">
        <x:v>tec-tercer-representante-estudiantil::article-15</x:v>
      </x:c>
      <x:c r="G164" s="11" t="str">
        <x:v>No</x:v>
      </x:c>
      <x:c r="H164" s="11" t="str">
        <x:v>No</x:v>
      </x:c>
      <x:c r="I164" s="12" t="str">
        <x:v>Reglamento para la Elección del Tercer Representante y Tercer Suplente Estudiantil ante el Consejo Institucional, ARTÍCULO 15</x:v>
      </x:c>
      <x:c r="J164" s="12" t="str">
        <x:v>https://www.tec.ac.cr/reglamento-eleccion-tercer-representante-tercer-suplente-estudiantil-consejo-institucional</x:v>
      </x:c>
      <x:c r="K164" s="12" t="str">
        <x:v>Quien desee ser candidato, deberá presentar al Tribunal Electoral Estudiantil los siguientes documentos los cuales se pueden consultar en el Manual de Procedimientos Electorales del Tribunal Electoral Estudiantil de la FEITEC y presentar como en este Manual se indique: 1. Nombre completo, número de carné, número de cedula, número telefónico, correo electrónico, carrera y firma. 2. Una declaración jurada de no parentesco por afinidad ó consanguinidad hasta tercer grado con el Rector,Vicerrectores y miembros del Consejo Institucional. 3. Constancia del Departamento de Recursos Humanos en la cual se consigne que no desempeña puestosdocentes o administrativos en el TEC. 4. Comprobante emitido por la Junta Directiva de Carrera, donde se afirme que no ha sido sancionado. 5. Dos fotografías tamaño pasaporte. 6. Además, deberá adjuntar: Fotocopia de Cédula, Carné e informe de matrícula del semestre en curso.</x:v>
      </x:c>
      <x:c r="L164" s="12" t="str">
        <x:v>tec-tercer-representante-estudiantil::article-15::chunk-001</x:v>
      </x:c>
      <x:c r="M164" s="12" t="str">
        <x:v>tec-tercer-representante-estudiantil</x:v>
      </x:c>
    </x:row>
    <x:row r="165" ht="92" customHeight="1">
      <x:c r="A165" s="11" t="str">
        <x:v>q033</x:v>
      </x:c>
      <x:c r="B165" s="11" t="str">
        <x:v>multi_section</x:v>
      </x:c>
      <x:c r="C165" s="11" t="str">
        <x:v>F4</x:v>
      </x:c>
      <x:c r="D165" s="11" t="n">
        <x:v>4</x:v>
      </x:c>
      <x:c r="E165" s="14" t="n">
        <x:v>0.8958419561386108</x:v>
      </x:c>
      <x:c r="F165" s="11" t="str">
        <x:v>tec-tercer-representante-estudiantil::article-16</x:v>
      </x:c>
      <x:c r="G165" s="11" t="str">
        <x:v>No</x:v>
      </x:c>
      <x:c r="H165" s="11" t="str">
        <x:v>No</x:v>
      </x:c>
      <x:c r="I165" s="12" t="str">
        <x:v>Reglamento para la Elección del Tercer Representante y Tercer Suplente Estudiantil ante el Consejo Institucional, ARTÍCULO 16</x:v>
      </x:c>
      <x:c r="J165" s="12" t="str">
        <x:v>https://www.tec.ac.cr/reglamento-eleccion-tercer-representante-tercer-suplente-estudiantil-consejo-institucional</x:v>
      </x:c>
      <x:c r="K165" s="12" t="str">
        <x:v>Serán incompatibles a este puesto las personas que: 1. Sean miembros actuales del Consejo Ejecutivo de la FEITEC, tanto titulares como adjuntos. 2. Formen parte del Directorio del Plenario del Movimiento Estudiantil. 3. Formen parte del Tribunal Electoral Estudiantil. 4. Sea representante estudiantil titular o suplente ante el Directorio de la Asamblea Institucional Representativa. 5. Sea miembro de la Junta Directiva o Fiscal de alguna Asociación de Carrera. 6. Formen parte del Tribunal Jurisdiccional. 7. Sean miembros actuales del Consejo Ejecutivo Regional de una Sede o Centro Académico. No podrá aspirar quien haya ocupado o se encuentre ocupando cualquiera de los tres puestos de representación estudiantil ante el Consejo Institucional en el periodo inmediato anterior a esta elección.</x:v>
      </x:c>
      <x:c r="L165" s="12" t="str">
        <x:v>tec-tercer-representante-estudiantil::article-16::chunk-001</x:v>
      </x:c>
      <x:c r="M165" s="12" t="str">
        <x:v>tec-tercer-representante-estudiantil</x:v>
      </x:c>
    </x:row>
    <x:row r="166" ht="92" customHeight="1">
      <x:c r="A166" s="11" t="str">
        <x:v>q033</x:v>
      </x:c>
      <x:c r="B166" s="11" t="str">
        <x:v>multi_section</x:v>
      </x:c>
      <x:c r="C166" s="11" t="str">
        <x:v>F5</x:v>
      </x:c>
      <x:c r="D166" s="11" t="n">
        <x:v>5</x:v>
      </x:c>
      <x:c r="E166" s="14" t="n">
        <x:v>0.893621027469635</x:v>
      </x:c>
      <x:c r="F166" s="11" t="str">
        <x:v>tec-reglamento-superior-feitec::article-109</x:v>
      </x:c>
      <x:c r="G166" s="11" t="str">
        <x:v>No</x:v>
      </x:c>
      <x:c r="H166" s="11" t="str">
        <x:v>No</x:v>
      </x:c>
      <x:c r="I166" s="12" t="str">
        <x:v>Reglamento Superior de la Federación de Estudiantes del Instituto Tecnológico de Costa Rica, ARTÍCULO 109</x:v>
      </x:c>
      <x:c r="J166" s="12" t="str">
        <x:v>https://www.tec.ac.cr/reglamento-superior-federacion-estudiantes-instituto-tecnologico-costa-rica</x:v>
      </x:c>
      <x:c r="K166" s="12" t="str">
        <x:v>La FEITEC estará representada en el Consejo Institucional por la presidencia del Consejo Ejecutivo de la FEITEC y dos representantes. Un representante electo en papeleta como miembro del Consejo Ejecutivo de la FEITEC y un representante electo por el Plenario de Movimiento de Estudiantil según el mecanismo que el Código Electoral determine para tal efecto.</x:v>
      </x:c>
      <x:c r="L166" s="12" t="str">
        <x:v>tec-reglamento-superior-feitec::article-109::chunk-001</x:v>
      </x:c>
      <x:c r="M166" s="12" t="str">
        <x:v>tec-reglamento-superior-feitec</x:v>
      </x:c>
    </x:row>
    <x:row r="167" ht="92" customHeight="1">
      <x:c r="A167" s="11" t="str">
        <x:v>q034</x:v>
      </x:c>
      <x:c r="B167" s="11" t="str">
        <x:v>unanswerable</x:v>
      </x:c>
      <x:c r="C167" s="11" t="str">
        <x:v>F1</x:v>
      </x:c>
      <x:c r="D167" s="11" t="n">
        <x:v>1</x:v>
      </x:c>
      <x:c r="E167" s="14" t="n">
        <x:v>0.8325172066688538</x:v>
      </x:c>
      <x:c r="F167" s="11" t="str">
        <x:v>tec-residencias-estudiantiles::article-17</x:v>
      </x:c>
      <x:c r="G167" s="11" t="str">
        <x:v>No</x:v>
      </x:c>
      <x:c r="H167" s="11" t="str">
        <x:v>No</x:v>
      </x:c>
      <x:c r="I167" s="12" t="str">
        <x:v>Reglamento para el Funcionamiento del Programa de Residencias Estudiantiles del Instituto Tecnológico de Costa Rica, Artículo 17</x:v>
      </x:c>
      <x:c r="J167" s="12" t="str">
        <x:v>https://www.tec.ac.cr/reglamento-funcionamiento-programa-residencias-estudiantiles-instituto-tecnologico-costa-rica</x:v>
      </x:c>
      <x:c r="K167" s="12" t="str">
        <x:v>, Consejo Institucional o el Tribunal Institucional Electoral, a quienes se reducirá a 9 créditos o quienes hayan sido admitidos por medio de programas especiales (Admisión Restringida u otra) quienes se regirán por la normativa de ese programa. En caso de estudiantes con igualdad de situación socioeconómica se le dará prioridad al estudiante de mayor dificultad de acceso al campus, según su lugar de procedencia. d. Carga Académica: Matricular un mínimo de doce créditos al semestre o el máximo de créditos a que tenga derecho según sea el plan de estudios. En el caso de estudiantes de primer ingreso se permitirá una matrícula mínima de diez créditos. Para estudiantes que sean representantes estudiantiles ante el Directorio de la Asamblea Institucional Representativa, Consejo Institucional o el Tribunal Institucional Electoral, se rebajará esta carga académica a 9 créditos. Artículo así reformado por acuerdo del Consejo Institucional, Sesión Ordinaria No. 3275, Artículo 14, del 10 de agosto de 2022. Publicado en fecha 17 de agosto del 2022 mediante la Gaceta Número 951-2022 de fecha 11 de agosto del 2022.</x:v>
      </x:c>
      <x:c r="L167" s="12" t="str">
        <x:v>tec-residencias-estudiantiles::article-17::chunk-002</x:v>
      </x:c>
      <x:c r="M167" s="12" t="str">
        <x:v>tec-residencias-estudiantiles</x:v>
      </x:c>
    </x:row>
    <x:row r="168" ht="92" customHeight="1">
      <x:c r="A168" s="11" t="str">
        <x:v>q034</x:v>
      </x:c>
      <x:c r="B168" s="11" t="str">
        <x:v>unanswerable</x:v>
      </x:c>
      <x:c r="C168" s="11" t="str">
        <x:v>F2</x:v>
      </x:c>
      <x:c r="D168" s="11" t="n">
        <x:v>2</x:v>
      </x:c>
      <x:c r="E168" s="14" t="n">
        <x:v>0.8278020620346069</x:v>
      </x:c>
      <x:c r="F168" s="11" t="str">
        <x:v>tec-residencias-estudiantiles::article-5</x:v>
      </x:c>
      <x:c r="G168" s="11" t="str">
        <x:v>No</x:v>
      </x:c>
      <x:c r="H168" s="11" t="str">
        <x:v>No</x:v>
      </x:c>
      <x:c r="I168" s="12" t="str">
        <x:v>Reglamento para el Funcionamiento del Programa de Residencias Estudiantiles del Instituto Tecnológico de Costa Rica, Artículo 5</x:v>
      </x:c>
      <x:c r="J168" s="12" t="str">
        <x:v>https://www.tec.ac.cr/reglamento-funcionamiento-programa-residencias-estudiantiles-instituto-tecnologico-costa-rica</x:v>
      </x:c>
      <x:c r="K168" s="12" t="str">
        <x:v>El Programa de Residencias Estudiantiles del Campus Tecnológico Central estará a cargo del o la Vicerrector (a) de Vida Estudiantil y Servicios Académicos por medio del Departamento de Becas y Gestión Social. El Programa de Residencias Estudiantiles del Campus Tecnológico Local de San Carlos estará a cargo del o la directora (a) del Campus, bajo el criterio de desconcentración técnica y administrativa establecido en el Estatuto Orgánico, por medio del Departamento de Vida Estudiantil y Servicios Académicos. Así reformado por acuerdo del Consejo Institucional, Sesión Ordinaria Número 3302, artículo 12 del 22 de marzo del 2023. Publicado en fecha 27 de marzo del 2023 mediante la Gaceta Número 1072-2023 del 9 de marzo del 2023. Artículo anteriormente reformado por acuerdo del Consejo Institucional, Sesión Ordinaria No. 3211, Artículo 14, del 07 de abril de 2021. Publicado en fecha 9 de abril del 2021 mediante la Gaceta Número 752-2021 de fecha 8 de abril del 2021.</x:v>
      </x:c>
      <x:c r="L168" s="12" t="str">
        <x:v>tec-residencias-estudiantiles::article-5::chunk-001</x:v>
      </x:c>
      <x:c r="M168" s="12" t="str">
        <x:v>tec-residencias-estudiantiles</x:v>
      </x:c>
    </x:row>
    <x:row r="169" ht="92" customHeight="1">
      <x:c r="A169" s="11" t="str">
        <x:v>q034</x:v>
      </x:c>
      <x:c r="B169" s="11" t="str">
        <x:v>unanswerable</x:v>
      </x:c>
      <x:c r="C169" s="11" t="str">
        <x:v>F3</x:v>
      </x:c>
      <x:c r="D169" s="11" t="n">
        <x:v>3</x:v>
      </x:c>
      <x:c r="E169" s="14" t="n">
        <x:v>0.8259616494178772</x:v>
      </x:c>
      <x:c r="F169" s="11" t="str">
        <x:v>tec-residencias-estudiantiles::article-18</x:v>
      </x:c>
      <x:c r="G169" s="11" t="str">
        <x:v>No</x:v>
      </x:c>
      <x:c r="H169" s="11" t="str">
        <x:v>No</x:v>
      </x:c>
      <x:c r="I169" s="12" t="str">
        <x:v>Reglamento para el Funcionamiento del Programa de Residencias Estudiantiles del Instituto Tecnológico de Costa Rica, Artículo 18</x:v>
      </x:c>
      <x:c r="J169" s="12" t="str">
        <x:v>https://www.tec.ac.cr/reglamento-funcionamiento-programa-residencias-estudiantiles-instituto-tecnologico-costa-rica</x:v>
      </x:c>
      <x:c r="K169" s="12" t="str">
        <x:v>desarrolladas por el o la Encargado (a) de Residencias y el Consejo de Residentes y haber demostrado un adecuado desempeño tanto en la organización como en la convivencia estudiantil. d. Cualquier otro criterio no contemplado en este reglamento. Artículo así reformado por acuerdo del Consejo Institucional, Sesión Ordinaria No. 3275, Artículo 14, del 10 de agosto de 2022. Publicado en fecha 17 de agosto del 2022 mediante la Gaceta Número 951-2022 de fecha 11 de agosto del 2022.</x:v>
      </x:c>
      <x:c r="L169" s="12" t="str">
        <x:v>tec-residencias-estudiantiles::article-18::chunk-002</x:v>
      </x:c>
      <x:c r="M169" s="12" t="str">
        <x:v>tec-residencias-estudiantiles</x:v>
      </x:c>
    </x:row>
    <x:row r="170" ht="92" customHeight="1">
      <x:c r="A170" s="11" t="str">
        <x:v>q034</x:v>
      </x:c>
      <x:c r="B170" s="11" t="str">
        <x:v>unanswerable</x:v>
      </x:c>
      <x:c r="C170" s="11" t="str">
        <x:v>F4</x:v>
      </x:c>
      <x:c r="D170" s="11" t="n">
        <x:v>4</x:v>
      </x:c>
      <x:c r="E170" s="14" t="n">
        <x:v>0.8229706883430481</x:v>
      </x:c>
      <x:c r="F170" s="11" t="str">
        <x:v>tec-residencias-estudiantiles::article-17</x:v>
      </x:c>
      <x:c r="G170" s="11" t="str">
        <x:v>No</x:v>
      </x:c>
      <x:c r="H170" s="11" t="str">
        <x:v>No</x:v>
      </x:c>
      <x:c r="I170" s="12" t="str">
        <x:v>Reglamento para el Funcionamiento del Programa de Residencias Estudiantiles del Instituto Tecnológico de Costa Rica, Artículo 17</x:v>
      </x:c>
      <x:c r="J170" s="12" t="str">
        <x:v>https://www.tec.ac.cr/reglamento-funcionamiento-programa-residencias-estudiantiles-instituto-tecnologico-costa-rica</x:v>
      </x:c>
      <x:c r="K170" s="12" t="str">
        <x:v>El ingreso al Programa de Residencias Estudiantiles se otorgará utilizando la totalidad de los criterios que se definen a continuación, siendo su prioridad el orden que aquí se establece y no siendo estos criterios excluyentes. a. Condición Socio Económica del o la Estudiante: Se le dará alojamiento a aquellos estudiantes que por su situación socioeconómica, reúnan los requisitos establecidos por la institución para ser beneficiarios del programa. b. Lugar de Procedencia: Los servicios se destinarán prioritariamente a aquellas personas estudiantes cuyo lugar de residencia no les permita trasladarse diariamente a las instalaciones institucionales donde se imparte su carrera, ya sea porque proviene de una zona de difícil acceso o alejada del campus. Inciso así reformado por acuerdo del Consejo Institucional, Sesión Ordinaria Número 3302, artículo 12 del 22 de marzo del 2023. Publicado en fecha 27 de marzo del 2023 mediante la Gaceta Número 1072-2023 del 9 de marzo del 2023. Rendimiento Académico: a. Para otorgarle el servicio al o la estudiante de primer ingreso se considerará el puntaje de admisión, dándole prioridad a los(as) estudiantes del Programa de Admisión Restringida o Abierta Especial, u otro dispuesto por la institución, o bien, al puntaje mayor. b. Para los(as) estudiantes que entren por exención del examen de admisión, se considerará su promedio de ingreso transformándolo a una escala equivalente al puntaje de admisión y competirá por el alojamiento con todos los demás estudiantes de primer ingreso. c. El resto de estudiantes deberá aprobar doce créditos mínimo en el semestre ordinario inmediato anterior a excepción de las y los estudiantes que sean representantes estudiantiles ante el Directorio de la Asamblea Institucional Representativa, Consejo Institucional o el Tribunal Institucional Electoral, a quienes se reducirá a 9 créditos o quienes hayan sido admitidos por medio de programas especiales (Admisión Restringida u otra) quienes se regirán por la normativa de ese programa</x:v>
      </x:c>
      <x:c r="L170" s="12" t="str">
        <x:v>tec-residencias-estudiantiles::article-17::chunk-001</x:v>
      </x:c>
      <x:c r="M170" s="12" t="str">
        <x:v>tec-residencias-estudiantiles</x:v>
      </x:c>
    </x:row>
    <x:row r="171" ht="92" customHeight="1">
      <x:c r="A171" s="11" t="str">
        <x:v>q034</x:v>
      </x:c>
      <x:c r="B171" s="11" t="str">
        <x:v>unanswerable</x:v>
      </x:c>
      <x:c r="C171" s="11" t="str">
        <x:v>F5</x:v>
      </x:c>
      <x:c r="D171" s="11" t="n">
        <x:v>5</x:v>
      </x:c>
      <x:c r="E171" s="14" t="n">
        <x:v>0.8218674063682556</x:v>
      </x:c>
      <x:c r="F171" s="11" t="str">
        <x:v>tec-residencias-estudiantiles::article-22</x:v>
      </x:c>
      <x:c r="G171" s="11" t="str">
        <x:v>No</x:v>
      </x:c>
      <x:c r="H171" s="11" t="str">
        <x:v>No</x:v>
      </x:c>
      <x:c r="I171" s="12" t="str">
        <x:v>Reglamento para el Funcionamiento del Programa de Residencias Estudiantiles del Instituto Tecnológico de Costa Rica, Artículo 22</x:v>
      </x:c>
      <x:c r="J171" s="12" t="str">
        <x:v>https://www.tec.ac.cr/reglamento-funcionamiento-programa-residencias-estudiantiles-instituto-tecnologico-costa-rica</x:v>
      </x:c>
      <x:c r="K171" s="12" t="str">
        <x:v>Son obligaciones de los(as) residentes: Inciso a) derogado por acuerdo del Consejo Institucional, Sesión Ordinaria No. 3291, Artículo 9, del 30 de noviembre de 2022. Publicado en fecha 7 de diciembre del 2022 mediante la Gaceta Número 1016-2022 de fecha 6 de diciembre del 2022. b. Reportar a la o el Encargado cualquier anomalía que se presente en relación con la cuota de mantenimiento de residencias. c. Reportar al o la Encargado (a) cuando algún compañero del cuarto o Núcleo Habitacional se ausenta por más de siete días o hace uso irregular del beneficio. d. Comunicar al o la Encargado (a) con 10 días hábiles de anticipación el retiro del Programa y hacer entrega de las llaves del dormitorio con todos los activos asignados y requerimientos del aseo. e. Contribuir al mantenimiento del aseo y ornato del dormitorio, los pasillos, cocinas, servicios sanitarios, baños, salas de estar, cuartos de pilas y áreas aledañas a los edificios de Residencias. f. Hacer uso sólo del dormitorio que se le ha asignado y no permitir la permanencia de personas ajenas al programa sin la autorización respectiva. g. Utilizar la planta física y zonas verdes de acuerdo CON las normas establecidas para ese fin. h. Firmar anualmente las “Condiciones de préstamo para el uso de la Residencia Estudiantil”. i. Respetar las ideas, la dignidad e integridad física y los bienes materiales de los y las demás estudiantes residentes. j. Respetar las disposiciones sobre la prestación del servicio establecidas en las Condiciones de préstamo para el uso de la Residencia Estudiantil” y el presente Reglamento. k. Informar aL o la Encargado (a) sobre el período y lugar en donde realizará su práctica de especialidad para</x:v>
      </x:c>
      <x:c r="L171" s="12" t="str">
        <x:v>tec-residencias-estudiantiles::article-22::chunk-001</x:v>
      </x:c>
      <x:c r="M171" s="12" t="str">
        <x:v>tec-residencias-estudiantiles</x:v>
      </x:c>
    </x:row>
    <x:row r="172" ht="92" customHeight="1">
      <x:c r="A172" s="11" t="str">
        <x:v>q035</x:v>
      </x:c>
      <x:c r="B172" s="11" t="str">
        <x:v>unanswerable</x:v>
      </x:c>
      <x:c r="C172" s="11" t="str">
        <x:v>F1</x:v>
      </x:c>
      <x:c r="D172" s="11" t="n">
        <x:v>1</x:v>
      </x:c>
      <x:c r="E172" s="14" t="n">
        <x:v>0.8265149593353271</x:v>
      </x:c>
      <x:c r="F172" s="11" t="str">
        <x:v>tec-residencias-estudiantiles::article-5</x:v>
      </x:c>
      <x:c r="G172" s="11" t="str">
        <x:v>No</x:v>
      </x:c>
      <x:c r="H172" s="11" t="str">
        <x:v>No</x:v>
      </x:c>
      <x:c r="I172" s="12" t="str">
        <x:v>Reglamento para el Funcionamiento del Programa de Residencias Estudiantiles del Instituto Tecnológico de Costa Rica, Artículo 5</x:v>
      </x:c>
      <x:c r="J172" s="12" t="str">
        <x:v>https://www.tec.ac.cr/reglamento-funcionamiento-programa-residencias-estudiantiles-instituto-tecnologico-costa-rica</x:v>
      </x:c>
      <x:c r="K172" s="12" t="str">
        <x:v>El Programa de Residencias Estudiantiles del Campus Tecnológico Central estará a cargo del o la Vicerrector (a) de Vida Estudiantil y Servicios Académicos por medio del Departamento de Becas y Gestión Social. El Programa de Residencias Estudiantiles del Campus Tecnológico Local de San Carlos estará a cargo del o la directora (a) del Campus, bajo el criterio de desconcentración técnica y administrativa establecido en el Estatuto Orgánico, por medio del Departamento de Vida Estudiantil y Servicios Académicos. Así reformado por acuerdo del Consejo Institucional, Sesión Ordinaria Número 3302, artículo 12 del 22 de marzo del 2023. Publicado en fecha 27 de marzo del 2023 mediante la Gaceta Número 1072-2023 del 9 de marzo del 2023. Artículo anteriormente reformado por acuerdo del Consejo Institucional, Sesión Ordinaria No. 3211, Artículo 14, del 07 de abril de 2021. Publicado en fecha 9 de abril del 2021 mediante la Gaceta Número 752-2021 de fecha 8 de abril del 2021.</x:v>
      </x:c>
      <x:c r="L172" s="12" t="str">
        <x:v>tec-residencias-estudiantiles::article-5::chunk-001</x:v>
      </x:c>
      <x:c r="M172" s="12" t="str">
        <x:v>tec-residencias-estudiantiles</x:v>
      </x:c>
    </x:row>
    <x:row r="173" ht="92" customHeight="1">
      <x:c r="A173" s="11" t="str">
        <x:v>q035</x:v>
      </x:c>
      <x:c r="B173" s="11" t="str">
        <x:v>unanswerable</x:v>
      </x:c>
      <x:c r="C173" s="11" t="str">
        <x:v>F2</x:v>
      </x:c>
      <x:c r="D173" s="11" t="n">
        <x:v>2</x:v>
      </x:c>
      <x:c r="E173" s="14" t="n">
        <x:v>0.8223876953125</x:v>
      </x:c>
      <x:c r="F173" s="11" t="str">
        <x:v>tec-tercer-representante-estudiantil::transitory-i</x:v>
      </x:c>
      <x:c r="G173" s="11" t="str">
        <x:v>No</x:v>
      </x:c>
      <x:c r="H173" s="11" t="str">
        <x:v>No</x:v>
      </x:c>
      <x:c r="I173" s="12" t="str">
        <x:v>Reglamento para la Elección del Tercer Representante y Tercer Suplente Estudiantil ante el Consejo Institucional, TRANSITORIO I</x:v>
      </x:c>
      <x:c r="J173" s="12" t="str">
        <x:v>https://www.tec.ac.cr/reglamento-eleccion-tercer-representante-tercer-suplente-estudiantil-consejo-institucional</x:v>
      </x:c>
      <x:c r="K173" s="12" t="str">
        <x:v>Las personas que ocupan actualmente el cargo de Tercer Representante y Tercer Suplente Estudiantil ante el Consejo Institucional, tendrán su periodo en gestión extendido al 31 de diciembre del 2022, en concordancia con las disposiciones incorporadas al artículo 21 de la presente norma. Este Reglamento es aprobado el 20 de abril del 2023 por el Directorio del Tribunal Electoral Estudiantil de la Federación de Estudiantes del Instituto Tecnológico de Costa Rica en Cartago, Campus Central del ITCR derogando cualquier versión anterior. Así aprobado por acuerdo del Tribunal Electoral Estudiantil, Sesión Extraordinaria TEE-005-2023 del 20 de abril del 2023. Publicado en fecha 25 de abril del 2023 mediante la Gaceta Número 1082-2023 de fecha 24 de abril del 2023</x:v>
      </x:c>
      <x:c r="L173" s="12" t="str">
        <x:v>tec-tercer-representante-estudiantil::transitory-i::chunk-001</x:v>
      </x:c>
      <x:c r="M173" s="12" t="str">
        <x:v>tec-tercer-representante-estudiantil</x:v>
      </x:c>
    </x:row>
    <x:row r="174" ht="92" customHeight="1">
      <x:c r="A174" s="11" t="str">
        <x:v>q035</x:v>
      </x:c>
      <x:c r="B174" s="11" t="str">
        <x:v>unanswerable</x:v>
      </x:c>
      <x:c r="C174" s="11" t="str">
        <x:v>F3</x:v>
      </x:c>
      <x:c r="D174" s="11" t="n">
        <x:v>3</x:v>
      </x:c>
      <x:c r="E174" s="14" t="n">
        <x:v>0.8198783993721008</x:v>
      </x:c>
      <x:c r="F174" s="11" t="str">
        <x:v>tec-horas-estudiante-asistente::article-1</x:v>
      </x:c>
      <x:c r="G174" s="11" t="str">
        <x:v>No</x:v>
      </x:c>
      <x:c r="H174" s="11" t="str">
        <x:v>No</x:v>
      </x:c>
      <x:c r="I174" s="12" t="str">
        <x:v>Reglamento para la Asignación de Horas Estudiante y Horas Asistente en el Instituto Tecnológico de Costa Rica, Artículo 1</x:v>
      </x:c>
      <x:c r="J174" s="12" t="str">
        <x:v>https://www.tec.ac.cr/reglamento-asignacion-horas-estudiante-horas-asistente-instituto-tecnologico-costa-rica</x:v>
      </x:c>
      <x:c r="K174" s="12" t="str">
        <x:v>Las horas estudiantes tienen carácter de apoyo a las actividades que se realizan en la gestión administrativa de cada Vicerrectoría, Campus Tecnológico Local o Centro Académico. Así reformado por acuerdo del Consejo Institucional, Sesión Ordinaria Número 3253, Artículo 9 del 2 de marzo del 2022. Publicado en fecha 3 de marzo del 2022 mediante la Gaceta Número 882-2022 de fecha 3 de marzo del 2022.</x:v>
      </x:c>
      <x:c r="L174" s="12" t="str">
        <x:v>tec-horas-estudiante-asistente::article-1::chunk-001</x:v>
      </x:c>
      <x:c r="M174" s="12" t="str">
        <x:v>tec-horas-estudiante-asistente</x:v>
      </x:c>
    </x:row>
    <x:row r="175" ht="92" customHeight="1">
      <x:c r="A175" s="11" t="str">
        <x:v>q035</x:v>
      </x:c>
      <x:c r="B175" s="11" t="str">
        <x:v>unanswerable</x:v>
      </x:c>
      <x:c r="C175" s="11" t="str">
        <x:v>F4</x:v>
      </x:c>
      <x:c r="D175" s="11" t="n">
        <x:v>4</x:v>
      </x:c>
      <x:c r="E175" s="14" t="n">
        <x:v>0.8191138505935669</x:v>
      </x:c>
      <x:c r="F175" s="11" t="str">
        <x:v>tec-residencias-estudiantiles::article-8</x:v>
      </x:c>
      <x:c r="G175" s="11" t="str">
        <x:v>No</x:v>
      </x:c>
      <x:c r="H175" s="11" t="str">
        <x:v>No</x:v>
      </x:c>
      <x:c r="I175" s="12" t="str">
        <x:v>Reglamento para el Funcionamiento del Programa de Residencias Estudiantiles del Instituto Tecnológico de Costa Rica, Artículo 8</x:v>
      </x:c>
      <x:c r="J175" s="12" t="str">
        <x:v>https://www.tec.ac.cr/reglamento-funcionamiento-programa-residencias-estudiantiles-instituto-tecnologico-costa-rica</x:v>
      </x:c>
      <x:c r="K175" s="12" t="str">
        <x:v>El Departamento de Becas y Gestión Social y el Departamento de Vida Estudiantil y Servicios Académicos, administrarán y ejecutarán los Programas de Residencias Estudiantiles respectivos, siguiendo los lineamientos establecidos en este Reglamento y las metas establecidas por el o la Vicerrector (a) de Vida Estudiantil y Servicios Académicos y el o la directora (a) del Campus Tecnológico Local de San Carlos, según corresponda. El (la) Director (a) será el responsable del Programa. Así reformado por acuerdo del Consejo Institucional, Sesión Ordinaria Número 3302, artículo 12 del 22 de marzo del 2023. Publicado en fecha 27 de marzo del 2023 mediante la Gaceta Número 1072-2023 del 9 de marzo del 2023. Artículo anteriormente reformado por acuerdo del Consejo Institucional, Sesión Ordinaria No. 3211, Artículo 14, del 07 de abril de 2021. Publicado en fecha 9 de abril del 2021 mediante la Gaceta Número 752-2021 de fecha 8 de abril del 2021.</x:v>
      </x:c>
      <x:c r="L175" s="12" t="str">
        <x:v>tec-residencias-estudiantiles::article-8::chunk-001</x:v>
      </x:c>
      <x:c r="M175" s="12" t="str">
        <x:v>tec-residencias-estudiantiles</x:v>
      </x:c>
    </x:row>
    <x:row r="176" ht="92" customHeight="1">
      <x:c r="A176" s="11" t="str">
        <x:v>q035</x:v>
      </x:c>
      <x:c r="B176" s="11" t="str">
        <x:v>unanswerable</x:v>
      </x:c>
      <x:c r="C176" s="11" t="str">
        <x:v>F5</x:v>
      </x:c>
      <x:c r="D176" s="11" t="n">
        <x:v>5</x:v>
      </x:c>
      <x:c r="E176" s="14" t="n">
        <x:v>0.8181875944137573</x:v>
      </x:c>
      <x:c r="F176" s="11" t="str">
        <x:v>tec-rrea-2025::transitory-ii</x:v>
      </x:c>
      <x:c r="G176" s="11" t="str">
        <x:v>No</x:v>
      </x:c>
      <x:c r="H176" s="11" t="str">
        <x:v>No</x:v>
      </x:c>
      <x:c r="I176" s="12" t="str">
        <x:v>Reglamento del Régimen Enseñanza-Aprendizaje del Instituto Tecnológico de Costa Rica, Transitorio II</x:v>
      </x:c>
      <x:c r="J176" s="12" t="str">
        <x:v>https://www.tec.ac.cr/reglamento-regimen-ensenanza-aprendizaje-instituto-tecnologico-costa-rica</x:v>
      </x:c>
      <x:c r="K176" s="12" t="str">
        <x:v>El curso de verano 2024-2025 o cualquier curso que esté iniciado al 1° de enero de 2025, finaliza con la normativa que estaba vigente a su inicio. Aprobado por el Consejo Institucional en la Sesión Ordinaria N.° 3375, Artículo 12, del 07 de agosto de 2024. Publicado en la Gaceta N.° 1236 de fecha 08 de agosto del 2024.</x:v>
      </x:c>
      <x:c r="L176" s="12" t="str">
        <x:v>tec-rrea-2025::transitory-ii::chunk-001</x:v>
      </x:c>
      <x:c r="M176" s="12" t="str">
        <x:v>tec-rrea-2025</x:v>
      </x:c>
    </x:row>
    <x:row r="177" ht="92" customHeight="1">
      <x:c r="A177" s="11" t="str">
        <x:v>q036</x:v>
      </x:c>
      <x:c r="B177" s="11" t="str">
        <x:v>unanswerable</x:v>
      </x:c>
      <x:c r="C177" s="11" t="str">
        <x:v>F1</x:v>
      </x:c>
      <x:c r="D177" s="11" t="n">
        <x:v>1</x:v>
      </x:c>
      <x:c r="E177" s="14" t="n">
        <x:v>0.8463912010192871</x:v>
      </x:c>
      <x:c r="F177" s="11" t="str">
        <x:v>tec-rrea-2025::article-32</x:v>
      </x:c>
      <x:c r="G177" s="11" t="str">
        <x:v>No</x:v>
      </x:c>
      <x:c r="H177" s="11" t="str">
        <x:v>No</x:v>
      </x:c>
      <x:c r="I177" s="12" t="str">
        <x:v>Reglamento del Régimen Enseñanza-Aprendizaje del Instituto Tecnológico de Costa Rica, Artículo 32. Del uso de medios oficiales de comunicación</x:v>
      </x:c>
      <x:c r="J177" s="12" t="str">
        <x:v>https://www.tec.ac.cr/reglamento-regimen-ensenanza-aprendizaje-instituto-tecnologico-costa-rica</x:v>
      </x:c>
      <x:c r="K177" s="12" t="str">
        <x:v>Es obligación de la persona estudiante revisar regularmente los medios oficiales de comunicación institucional como por ejemplo el correo electrónico institucional y la plataforma Tec Digital. Además, debe dirigir las consultas o solicitudes de trámites académicos a través de esos canales oficiales.</x:v>
      </x:c>
      <x:c r="L177" s="12" t="str">
        <x:v>tec-rrea-2025::article-32::chunk-001</x:v>
      </x:c>
      <x:c r="M177" s="12" t="str">
        <x:v>tec-rrea-2025</x:v>
      </x:c>
    </x:row>
    <x:row r="178" ht="92" customHeight="1">
      <x:c r="A178" s="11" t="str">
        <x:v>q036</x:v>
      </x:c>
      <x:c r="B178" s="11" t="str">
        <x:v>unanswerable</x:v>
      </x:c>
      <x:c r="C178" s="11" t="str">
        <x:v>F2</x:v>
      </x:c>
      <x:c r="D178" s="11" t="n">
        <x:v>2</x:v>
      </x:c>
      <x:c r="E178" s="14" t="n">
        <x:v>0.8417071104049683</x:v>
      </x:c>
      <x:c r="F178" s="11" t="str">
        <x:v>tec-codigo-electoral-estudiantil::article-116</x:v>
      </x:c>
      <x:c r="G178" s="11" t="str">
        <x:v>No</x:v>
      </x:c>
      <x:c r="H178" s="11" t="str">
        <x:v>No</x:v>
      </x:c>
      <x:c r="I178" s="12" t="str">
        <x:v>Código Electoral Estudiantil del Tecnológico de Costa Rica, Artículo 116</x:v>
      </x:c>
      <x:c r="J178" s="12" t="str">
        <x:v>https://www.tec.ac.cr/codigo-electoral-estudiantil-tecnologico-costa-rica</x:v>
      </x:c>
      <x:c r="K178" s="12" t="str">
        <x:v>El proceso de votación se realiza de la siguiente manera: Ingresa el elector a la Junta Receptora de Votos. Un miembro de mesa le solicita mostrar su cédula, pasaporte o carné universitario del TEC. El elector lo entrega al miembro de mesa y este verifica que la persona se encuentre en el padrón. En caso de ser negativo le indica que no puede proceder a votar al no encontrarse en el padrón. En caso de sí encontrarse en este, lo señala de la manera indicada por el DTEE y le indica que puede continuar el proceso y le entrega la identificación a otro compañero que se encuentre en la mesa. Este segundo miembro de mesa lo busca en el padrón de firmas y le anota una “x” en el espacio correspondiente para que este firme una vez haya emitido el voto. Un tercer miembro de mesa le entrega la o las papeletas con la debida firma de la Presidencia de mesa, le muestra al elector que la papeleta no está tachada y se indica que cuenta con 2 minutos para efectuar el voto (en caso de exceder este tiempo se procederá a retirarle la papeleta, anotar al dorso “VOTO NULO”, depositar está en la urna y anotar lo sucedido en el acta de eventos) El elector recibe la papeleta y se ubica en el biombo para realizar su elección. El elector ha señalado el candidato o partido de su preferencia, dobla la papeleta y la deposita en la urna correspondiente (antes de depositarla, muestra a los miembros de mesa la firma de la presidencia de mesa en el reverso de la papeleta) Una vez que este ha depositado el voto, se dirige al padrón de firmas y firma en el espacio correspondiente haciendo constar que ya ha efectuado el voto. El miembro de mesa le entrega el documento de identidad. El elector se retira de la Junta Receptora de Votos.</x:v>
      </x:c>
      <x:c r="L178" s="12" t="str">
        <x:v>tec-codigo-electoral-estudiantil::article-116::chunk-001</x:v>
      </x:c>
      <x:c r="M178" s="12" t="str">
        <x:v>tec-codigo-electoral-estudiantil</x:v>
      </x:c>
    </x:row>
    <x:row r="179" ht="92" customHeight="1">
      <x:c r="A179" s="11" t="str">
        <x:v>q036</x:v>
      </x:c>
      <x:c r="B179" s="11" t="str">
        <x:v>unanswerable</x:v>
      </x:c>
      <x:c r="C179" s="11" t="str">
        <x:v>F3</x:v>
      </x:c>
      <x:c r="D179" s="11" t="n">
        <x:v>3</x:v>
      </x:c>
      <x:c r="E179" s="14" t="n">
        <x:v>0.8376810550689697</x:v>
      </x:c>
      <x:c r="F179" s="11" t="str">
        <x:v>tec-codigo-electoral-estudiantil::article-3</x:v>
      </x:c>
      <x:c r="G179" s="11" t="str">
        <x:v>No</x:v>
      </x:c>
      <x:c r="H179" s="11" t="str">
        <x:v>No</x:v>
      </x:c>
      <x:c r="I179" s="12" t="str">
        <x:v>Código Electoral Estudiantil del Tecnológico de Costa Rica, Artículo 3</x:v>
      </x:c>
      <x:c r="J179" s="12" t="str">
        <x:v>https://www.tec.ac.cr/codigo-electoral-estudiantil-tecnologico-costa-rica</x:v>
      </x:c>
      <x:c r="K179" s="12" t="str">
        <x:v>El Tribunal Electoral Estudiantil (TEE), es el ente superior en materia electoral estudiantil del Tecnológico de Costa Rica, así como el órgano jurisdiccional de la Federación de Estudiantes del Instituto Tecnológico de Costa Rica (FEITEC) cuyo domicilio será la provincia de Cartago, Cantón Central, Distrito Oriental, en el Campus Central del Tecnológico de Costa Rica. Este Tribunal goza de autonomía funcional. Capítulo 2 Integración del TEE.</x:v>
      </x:c>
      <x:c r="L179" s="12" t="str">
        <x:v>tec-codigo-electoral-estudiantil::article-3::chunk-001</x:v>
      </x:c>
      <x:c r="M179" s="12" t="str">
        <x:v>tec-codigo-electoral-estudiantil</x:v>
      </x:c>
    </x:row>
    <x:row r="180" ht="92" customHeight="1">
      <x:c r="A180" s="11" t="str">
        <x:v>q036</x:v>
      </x:c>
      <x:c r="B180" s="11" t="str">
        <x:v>unanswerable</x:v>
      </x:c>
      <x:c r="C180" s="11" t="str">
        <x:v>F4</x:v>
      </x:c>
      <x:c r="D180" s="11" t="n">
        <x:v>4</x:v>
      </x:c>
      <x:c r="E180" s="14" t="n">
        <x:v>0.8369068503379822</x:v>
      </x:c>
      <x:c r="F180" s="11" t="str">
        <x:v>tec-codigo-electoral-estudiantil::article-142</x:v>
      </x:c>
      <x:c r="G180" s="11" t="str">
        <x:v>No</x:v>
      </x:c>
      <x:c r="H180" s="11" t="str">
        <x:v>No</x:v>
      </x:c>
      <x:c r="I180" s="12" t="str">
        <x:v>Código Electoral Estudiantil del Tecnológico de Costa Rica, Artículo 142</x:v>
      </x:c>
      <x:c r="J180" s="12" t="str">
        <x:v>https://www.tec.ac.cr/codigo-electoral-estudiantil-tecnologico-costa-rica</x:v>
      </x:c>
      <x:c r="K180" s="12" t="str">
        <x:v>La recomendación de expulsión del “Artículo 137, inciso e del Código Electoral Estudiantil” se hará en los siguientes casos: Injuriar, difamar o calumniar en forma grave a cualquier miembro de la Comunidad Institucional durante el proceso electoral. Ejercer violencia durante el proceso electoral en cualquiera de las actividades. Enviar de manera oficial al TEE del TEC informes o datos falsos que pudieran incidir en el resultado de una elección. Otro asunto grave que se omita en este reglamento a criterio del TEE.</x:v>
      </x:c>
      <x:c r="L180" s="12" t="str">
        <x:v>tec-codigo-electoral-estudiantil::article-142::chunk-001</x:v>
      </x:c>
      <x:c r="M180" s="12" t="str">
        <x:v>tec-codigo-electoral-estudiantil</x:v>
      </x:c>
    </x:row>
    <x:row r="181" ht="92" customHeight="1">
      <x:c r="A181" s="11" t="str">
        <x:v>q036</x:v>
      </x:c>
      <x:c r="B181" s="11" t="str">
        <x:v>unanswerable</x:v>
      </x:c>
      <x:c r="C181" s="11" t="str">
        <x:v>F5</x:v>
      </x:c>
      <x:c r="D181" s="11" t="n">
        <x:v>5</x:v>
      </x:c>
      <x:c r="E181" s="14" t="n">
        <x:v>0.8368182182312012</x:v>
      </x:c>
      <x:c r="F181" s="11" t="str">
        <x:v>tec-codigo-electoral-estudiantil::article-78</x:v>
      </x:c>
      <x:c r="G181" s="11" t="str">
        <x:v>No</x:v>
      </x:c>
      <x:c r="H181" s="11" t="str">
        <x:v>No</x:v>
      </x:c>
      <x:c r="I181" s="12" t="str">
        <x:v>Código Electoral Estudiantil del Tecnológico de Costa Rica, Artículo 78</x:v>
      </x:c>
      <x:c r="J181" s="12" t="str">
        <x:v>https://www.tec.ac.cr/codigo-electoral-estudiantil-tecnologico-costa-rica</x:v>
      </x:c>
      <x:c r="K181" s="12" t="str">
        <x:v>las personas. Asistir a cualquier acto electoral portando armas, en estado de ebriedad o bajo los efectos de las drogas. Con dádivas o promesas de dádiva, determinar a otro a emitir su voto a favor de una candidatura. Valerse de personas físicas o jurídicas ajenas a la institución para que intervengan directa o indirectamente en cualquier actividad electoral. El proceso electoral estudiantil del TEC compete única y exclusivamente a los estudiantes del TEC. Accionar a manifestarse como tal, a favor o en contra, colaborar u obstruir las actividades de los partidos y candidatos que participen en el proceso electoral. Sin embargo, esto no exime o libera al TEE de cumplir con las obligaciones que el Estatuto Orgánico de la FEITEC y este código le asignen. Buscar apoyo de funcionarios de la institución, a fin de que los mismos interfieran o colaboren con la propaganda política. Pegar propaganda, en el edificio en el cual se encuentre ubicado el Tribunal Electoral Estudiantil, la oficina de la Federación de Estudiantes del Instituto Tecnológico de Costa Rica, ni en las oficinas de cualquier Asociación de Estudiantes. Pegar información en ventanas de oficina que brindan servicio al público (Secretarías, Financiero, Admisión y Registro, etc.), puertas, árboles o señales de tránsito. Cualquier otra falta grave a criterio del TEE. (1) Entiéndase por apoyo cualquier tipo de ayuda o donación de carácter: ideológico, económico, moral, administrativo u otros dictaminados por el TEE.</x:v>
      </x:c>
      <x:c r="L181" s="12" t="str">
        <x:v>tec-codigo-electoral-estudiantil::article-78::chunk-002</x:v>
      </x:c>
      <x:c r="M181" s="12" t="str">
        <x:v>tec-codigo-electoral-estudiantil</x:v>
      </x:c>
    </x:row>
    <x:row r="182" ht="92" customHeight="1">
      <x:c r="A182" s="11" t="str">
        <x:v>q037</x:v>
      </x:c>
      <x:c r="B182" s="11" t="str">
        <x:v>unanswerable</x:v>
      </x:c>
      <x:c r="C182" s="11" t="str">
        <x:v>F1</x:v>
      </x:c>
      <x:c r="D182" s="11" t="n">
        <x:v>1</x:v>
      </x:c>
      <x:c r="E182" s="14" t="n">
        <x:v>0.8274950385093689</x:v>
      </x:c>
      <x:c r="F182" s="11" t="str">
        <x:v>tec-beca-asistente-especial::article-12</x:v>
      </x:c>
      <x:c r="G182" s="11" t="str">
        <x:v>No</x:v>
      </x:c>
      <x:c r="H182" s="11" t="str">
        <x:v>No</x:v>
      </x:c>
      <x:c r="I182" s="12" t="str">
        <x:v>Reglamento de Beca del Estudiante Asistente Especial del Instituto Tecnológico de Costa Rica, Artículo 12</x:v>
      </x:c>
      <x:c r="J182" s="12" t="str">
        <x:v>https://www.tec.ac.cr/reglamento-beca-estudiante-asistente-especial-instituto-tecnologico-costa-rica</x:v>
      </x:c>
      <x:c r="K182" s="12" t="str">
        <x:v>Las horas por semana que un(a) estudiante beneficiario(a) podrá dedicar para efectuar las actividades mencionadas, será de un mínimo de diez y un máximo de veinte, las cuales el o la estudiante las podrá efectuar en la oficina del o la funcionario(a) responsable o fuera de esta, según la índole de la función. El horario para ello se establecerá de común acuerdo entre el o la estudiante y el o la funcionario(a) respectivo(a).</x:v>
      </x:c>
      <x:c r="L182" s="12" t="str">
        <x:v>tec-beca-asistente-especial::article-12::chunk-001</x:v>
      </x:c>
      <x:c r="M182" s="12" t="str">
        <x:v>tec-beca-asistente-especial</x:v>
      </x:c>
    </x:row>
    <x:row r="183" ht="92" customHeight="1">
      <x:c r="A183" s="11" t="str">
        <x:v>q037</x:v>
      </x:c>
      <x:c r="B183" s="11" t="str">
        <x:v>unanswerable</x:v>
      </x:c>
      <x:c r="C183" s="11" t="str">
        <x:v>F2</x:v>
      </x:c>
      <x:c r="D183" s="11" t="n">
        <x:v>2</x:v>
      </x:c>
      <x:c r="E183" s="14" t="n">
        <x:v>0.8221069574356079</x:v>
      </x:c>
      <x:c r="F183" s="11" t="str">
        <x:v>tec-horas-estudiante-asistente::article-13</x:v>
      </x:c>
      <x:c r="G183" s="11" t="str">
        <x:v>No</x:v>
      </x:c>
      <x:c r="H183" s="11" t="str">
        <x:v>No</x:v>
      </x:c>
      <x:c r="I183" s="12" t="str">
        <x:v>Reglamento para la Asignación de Horas Estudiante y Horas Asistente en el Instituto Tecnológico de Costa Rica, Artículo 13</x:v>
      </x:c>
      <x:c r="J183" s="12" t="str">
        <x:v>https://www.tec.ac.cr/reglamento-asignacion-horas-estudiante-horas-asistente-instituto-tecnologico-costa-rica</x:v>
      </x:c>
      <x:c r="K183" s="12" t="str">
        <x:v>El mínimo de horas semanales que se podrán asignar a un estudiante por estos conceptos serán de cinco y el máximo de diez, y podrán efectuarse en la oficina del funcionario asistido o fuera de esta, según la índole de la función. El horario a cumplir por el estudiante se establecerá de común acuerdo entre este y el funcionario.</x:v>
      </x:c>
      <x:c r="L183" s="12" t="str">
        <x:v>tec-horas-estudiante-asistente::article-13::chunk-001</x:v>
      </x:c>
      <x:c r="M183" s="12" t="str">
        <x:v>tec-horas-estudiante-asistente</x:v>
      </x:c>
    </x:row>
    <x:row r="184" ht="92" customHeight="1">
      <x:c r="A184" s="11" t="str">
        <x:v>q037</x:v>
      </x:c>
      <x:c r="B184" s="11" t="str">
        <x:v>unanswerable</x:v>
      </x:c>
      <x:c r="C184" s="11" t="str">
        <x:v>F3</x:v>
      </x:c>
      <x:c r="D184" s="11" t="n">
        <x:v>3</x:v>
      </x:c>
      <x:c r="E184" s="14" t="n">
        <x:v>0.8196492791175842</x:v>
      </x:c>
      <x:c r="F184" s="11" t="str">
        <x:v>tec-horas-estudiante-asistente::article-20</x:v>
      </x:c>
      <x:c r="G184" s="11" t="str">
        <x:v>No</x:v>
      </x:c>
      <x:c r="H184" s="11" t="str">
        <x:v>No</x:v>
      </x:c>
      <x:c r="I184" s="12" t="str">
        <x:v>Reglamento para la Asignación de Horas Estudiante y Horas Asistente en el Instituto Tecnológico de Costa Rica, Artículo 20</x:v>
      </x:c>
      <x:c r="J184" s="12" t="str">
        <x:v>https://www.tec.ac.cr/reglamento-asignacion-horas-estudiante-horas-asistente-instituto-tecnologico-costa-rica</x:v>
      </x:c>
      <x:c r="K184" s="12" t="str">
        <x:v>El responsable de cada dependencia podrá solicitar al Comité horas estudiante, cuando el volumen de los programas a su cargo lo justifiquen, según lo establecido en la reglamentación correspondiente, para lo cual deberá contar con la anuencia previa del Rector, Vicerrector, Dirección de Campus Tecnológico Local o Centro Académico, según corresponda. Así reformado por acuerdo del Consejo Institucional, Sesión Ordinaria Número 3253, Artículo 9 del 2 de marzo del 2022. Publicado en fecha 3 de marzo del 2022 mediante la Gaceta Número 882-2022 de fecha 3 de marzo del 2022.</x:v>
      </x:c>
      <x:c r="L184" s="12" t="str">
        <x:v>tec-horas-estudiante-asistente::article-20::chunk-001</x:v>
      </x:c>
      <x:c r="M184" s="12" t="str">
        <x:v>tec-horas-estudiante-asistente</x:v>
      </x:c>
    </x:row>
    <x:row r="185" ht="92" customHeight="1">
      <x:c r="A185" s="11" t="str">
        <x:v>q037</x:v>
      </x:c>
      <x:c r="B185" s="11" t="str">
        <x:v>unanswerable</x:v>
      </x:c>
      <x:c r="C185" s="11" t="str">
        <x:v>F4</x:v>
      </x:c>
      <x:c r="D185" s="11" t="n">
        <x:v>4</x:v>
      </x:c>
      <x:c r="E185" s="14" t="n">
        <x:v>0.8180152177810669</x:v>
      </x:c>
      <x:c r="F185" s="11" t="str">
        <x:v>tec-hostigamiento-sexual::article-24</x:v>
      </x:c>
      <x:c r="G185" s="11" t="str">
        <x:v>No</x:v>
      </x:c>
      <x:c r="H185" s="11" t="str">
        <x:v>No</x:v>
      </x:c>
      <x:c r="I185" s="12" t="str">
        <x:v>Reglamento Contra El Hostigamiento Sexual en el Empleo y la Academia en el Instituto Tecnológico de Costa Rica, Artículo 24: Tiempo asignado para las personas integrantes de la CIHS y Comisiones Investigadoras</x:v>
      </x:c>
      <x:c r="J185" s="12" t="str">
        <x:v>https://www.tec.ac.cr/reglamento-hostigamiento-sexual-empleo-academia-instituto-tecnologico-costa-rica-0</x:v>
      </x:c>
      <x:c r="K185" s="12" t="str">
        <x:v>Las personas integrantes de la CIHS, que representan a los departamentos de Gestión del Talento Humano y departamento de Orientación y Psicología, de la Oficina de Equidad de Género y de VIESA, recibirán un nombramiento de al menos un quinto de jornada de tiempo completo, para dedicarse según la cantidad de horas requeridas para atender las funciones asignadas por este Reglamento, detalladas en el Artículo 21. Asignación que se verá limitada por los tiempos completos asignados a la CIHS. En los casos en que se deban conformar Comisiones Investigadoras, su atención implicará la asignación de una jornada adicional hasta por 6 horas semanales, las cuales podrán ser asumidas bajo la figura de recargo, cuando no se cuente con tiempo disponible, asignado en la jornada ordinaria de las personas que conformen cada Comisión Investigadora. Así reformado por acuerdo del Consejo Institucional, Sesión Ordinaria No. 3233, Artículo 9, del 08 de setiembre de 2021. Publicado en fecha 14 de setiembre del 2021 mediante la Gaceta Número 812-2021 de fecha 9 de setiembre del 2021.</x:v>
      </x:c>
      <x:c r="L185" s="12" t="str">
        <x:v>tec-hostigamiento-sexual::article-24::chunk-001</x:v>
      </x:c>
      <x:c r="M185" s="12" t="str">
        <x:v>tec-hostigamiento-sexual</x:v>
      </x:c>
    </x:row>
    <x:row r="186" ht="92" customHeight="1">
      <x:c r="A186" s="11" t="str">
        <x:v>q037</x:v>
      </x:c>
      <x:c r="B186" s="11" t="str">
        <x:v>unanswerable</x:v>
      </x:c>
      <x:c r="C186" s="11" t="str">
        <x:v>F5</x:v>
      </x:c>
      <x:c r="D186" s="11" t="n">
        <x:v>5</x:v>
      </x:c>
      <x:c r="E186" s="14" t="n">
        <x:v>0.8175771236419678</x:v>
      </x:c>
      <x:c r="F186" s="11" t="str">
        <x:v>tec-horas-estudiante-asistente::article-21</x:v>
      </x:c>
      <x:c r="G186" s="11" t="str">
        <x:v>No</x:v>
      </x:c>
      <x:c r="H186" s="11" t="str">
        <x:v>No</x:v>
      </x:c>
      <x:c r="I186" s="12" t="str">
        <x:v>Reglamento para la Asignación de Horas Estudiante y Horas Asistente en el Instituto Tecnológico de Costa Rica, Artículo 21</x:v>
      </x:c>
      <x:c r="J186" s="12" t="str">
        <x:v>https://www.tec.ac.cr/reglamento-asignacion-horas-estudiante-horas-asistente-instituto-tecnologico-costa-rica</x:v>
      </x:c>
      <x:c r="K186" s="12" t="str">
        <x:v>ceda la jornada de contratación, en aquellos casos en que la estimación que haga el superior jerárquico derive la necesidad de que cuente con ese tipo de apoyo, en consideración de la naturaleza y características de las actividades que integran el plan de trabajo o la eventual atención de actividades no contempladas formalmente en éste, que cuentan con el aval de instancias institucionales y en el marco de los recursos presupuestarios disponibles. Aprobado en Sesión 3054, Artículo 11, del 31 de enero de 2017. Gaceta No. 499 del 01 de febrero de 2018</x:v>
      </x:c>
      <x:c r="L186" s="12" t="str">
        <x:v>tec-horas-estudiante-asistente::article-21::chunk-002</x:v>
      </x:c>
      <x:c r="M186" s="12" t="str">
        <x:v>tec-horas-estudiante-asistente</x:v>
      </x:c>
    </x:row>
    <x:row r="187" ht="92" customHeight="1">
      <x:c r="A187" s="11" t="str">
        <x:v>q038</x:v>
      </x:c>
      <x:c r="B187" s="11" t="str">
        <x:v>unanswerable</x:v>
      </x:c>
      <x:c r="C187" s="11" t="str">
        <x:v>F1</x:v>
      </x:c>
      <x:c r="D187" s="11" t="n">
        <x:v>1</x:v>
      </x:c>
      <x:c r="E187" s="14" t="n">
        <x:v>0.8651514053344727</x:v>
      </x:c>
      <x:c r="F187" s="11" t="str">
        <x:v>tec-rrea-2025::article-18</x:v>
      </x:c>
      <x:c r="G187" s="11" t="str">
        <x:v>No</x:v>
      </x:c>
      <x:c r="H187" s="11" t="str">
        <x:v>No</x:v>
      </x:c>
      <x:c r="I187" s="12" t="str">
        <x:v>Reglamento del Régimen Enseñanza-Aprendizaje del Instituto Tecnológico de Costa Rica, Artículo 18. De los costos asociados a la matrícula</x:v>
      </x:c>
      <x:c r="J187" s="12" t="str">
        <x:v>https://www.tec.ac.cr/reglamento-regimen-ensenanza-aprendizaje-instituto-tecnologico-costa-rica</x:v>
      </x:c>
      <x:c r="K187" s="12" t="str">
        <x:v>En el momento de formalizar su matrícula la persona estudiante deberá estar al día con los compromisos económicos con la Institución. La persona que ejerza la dirección de la Vicerrectoría de Vida Estudiantil y Servicios Académicos podrá, en los casos en que así lo valore, levantar esta condición bajo resolución fundamentada. Para calcular la suma que se debe pagar por concepto de derechos de estudio, se restarán los montos otorgados como becas, préstamos y exoneraciones que sean establecidas en otros reglamentos o normativas institucionales. Se exceptúan los posgrados impartidos por la Institución, para lo cual el Consejo de Posgrado, con el apoyo técnico del Departamento Financiero Contable, definirá cuáles serán los montos por cobrar para cada uno de los programas impartidos. Una vez realizada la matrícula por parte de la persona estudiante, la Institución informará de inmediato por los medios físicos y digitales institucionales, el horario y los créditos de cada curso y el monto total que le corresponderá pagar por concepto de derechos de estudio. La persona estudiante queda en la obligación de pagar el saldo de los derechos de estudio y los montos correspondientes a servicios estudiantiles.</x:v>
      </x:c>
      <x:c r="L187" s="12" t="str">
        <x:v>tec-rrea-2025::article-18::chunk-001</x:v>
      </x:c>
      <x:c r="M187" s="12" t="str">
        <x:v>tec-rrea-2025</x:v>
      </x:c>
    </x:row>
    <x:row r="188" ht="92" customHeight="1">
      <x:c r="A188" s="11" t="str">
        <x:v>q038</x:v>
      </x:c>
      <x:c r="B188" s="11" t="str">
        <x:v>unanswerable</x:v>
      </x:c>
      <x:c r="C188" s="11" t="str">
        <x:v>F2</x:v>
      </x:c>
      <x:c r="D188" s="11" t="n">
        <x:v>2</x:v>
      </x:c>
      <x:c r="E188" s="14" t="n">
        <x:v>0.8639415502548218</x:v>
      </x:c>
      <x:c r="F188" s="11" t="str">
        <x:v>tec-becas-prestamos::article-29</x:v>
      </x:c>
      <x:c r="G188" s="11" t="str">
        <x:v>No</x:v>
      </x:c>
      <x:c r="H188" s="11" t="str">
        <x:v>No</x:v>
      </x:c>
      <x:c r="I188" s="12" t="str">
        <x:v>Reglamento de Becas y Préstamos Estudiantiles del Instituto Tecnológico de Costa Rica y sus Reformas, Artículo 29 Deberes y responsabilidades</x:v>
      </x:c>
      <x:c r="J188" s="12" t="str">
        <x:v>https://www.tec.ac.cr/reglamento-becas-prestamos-estudiantiles-instituto-tecnologico-costa-rica-sus-reformas</x:v>
      </x:c>
      <x:c r="K188" s="12" t="str">
        <x:v>Para el(la) estudiante egresado(a) del Colegio Científico que por su condición socioeconómica y mérito académico se le otorgue esta beca, deberá: a. Matricular un mínimo de 15 créditos al semestre. Si el semestre tiene menos créditos deberá matricular el bloque completo que establece el plan de estudios de su carrera. b. Aprobar un mínimo de 15 créditos al semestre o la totalidad de créditos que establece el plan de estudios para el período correspondiente.</x:v>
      </x:c>
      <x:c r="L188" s="12" t="str">
        <x:v>tec-becas-prestamos::article-29::chunk-001</x:v>
      </x:c>
      <x:c r="M188" s="12" t="str">
        <x:v>tec-becas-prestamos</x:v>
      </x:c>
    </x:row>
    <x:row r="189" ht="92" customHeight="1">
      <x:c r="A189" s="11" t="str">
        <x:v>q038</x:v>
      </x:c>
      <x:c r="B189" s="11" t="str">
        <x:v>unanswerable</x:v>
      </x:c>
      <x:c r="C189" s="11" t="str">
        <x:v>F3</x:v>
      </x:c>
      <x:c r="D189" s="11" t="n">
        <x:v>3</x:v>
      </x:c>
      <x:c r="E189" s="14" t="n">
        <x:v>0.862120509147644</x:v>
      </x:c>
      <x:c r="F189" s="11" t="str">
        <x:v>tec-rrea-2025::article-17</x:v>
      </x:c>
      <x:c r="G189" s="11" t="str">
        <x:v>No</x:v>
      </x:c>
      <x:c r="H189" s="11" t="str">
        <x:v>No</x:v>
      </x:c>
      <x:c r="I189" s="12" t="str">
        <x:v>Reglamento del Régimen Enseñanza-Aprendizaje del Instituto Tecnológico de Costa Rica, Artículo 17. Del pago de retiro de asignaturas matriculadas</x:v>
      </x:c>
      <x:c r="J189" s="12" t="str">
        <x:v>https://www.tec.ac.cr/reglamento-regimen-ensenanza-aprendizaje-instituto-tecnologico-costa-rica</x:v>
      </x:c>
      <x:c r="K189" s="12" t="str">
        <x:v>Todos los casos de retiros que se establecen en este Reglamento deberán pagarse dentro del plazo de formalización del trámite que se detalla en este reglamento, con excepción de los retiros justificados especiales que deberán atender el plazo indicado por la Comisión que analizó el caso. La suma por pagar por el estudiantado se calculará en función del valor ordinario del crédito vigente, salvo en las siguientes excepciones: a. En los casos en que por fuerza mayor fue ampliado el plazo ordinario para formalizar retiros de asignaturas, y las personas titulares de la Dirección de Posgrado o la Vicerrectoría de Docencia y Vicerrectoría de Vida Estudiantil y Servicios Académicos, según corresponda, valoren mediante resolución fundamentada que hay razones que justifiquen que se exima del pago de los créditos correspondientes al estudiantado. b. Cuando en una solicitud de retiro justificado o justificado especial la persona titular de la Vicerrectoría de Vida Estudiantil y Servicios Académicos valora que hay razones para eximir a la persona estudiante del pago de créditos correspondiente y emite resolución fundamentada.</x:v>
      </x:c>
      <x:c r="L189" s="12" t="str">
        <x:v>tec-rrea-2025::article-17::chunk-001</x:v>
      </x:c>
      <x:c r="M189" s="12" t="str">
        <x:v>tec-rrea-2025</x:v>
      </x:c>
    </x:row>
    <x:row r="190" ht="92" customHeight="1">
      <x:c r="A190" s="11" t="str">
        <x:v>q038</x:v>
      </x:c>
      <x:c r="B190" s="11" t="str">
        <x:v>unanswerable</x:v>
      </x:c>
      <x:c r="C190" s="11" t="str">
        <x:v>F4</x:v>
      </x:c>
      <x:c r="D190" s="11" t="n">
        <x:v>4</x:v>
      </x:c>
      <x:c r="E190" s="14" t="n">
        <x:v>0.8584635257720947</x:v>
      </x:c>
      <x:c r="F190" s="11" t="str">
        <x:v>tec-admision-grado::article-39</x:v>
      </x:c>
      <x:c r="G190" s="11" t="str">
        <x:v>No</x:v>
      </x:c>
      <x:c r="H190" s="11" t="str">
        <x:v>No</x:v>
      </x:c>
      <x:c r="I190" s="12" t="str">
        <x:v>Reglamento de Admisión a Carreras de Grado en el Instituto Tecnológico de Costa Rica, Artículo 39. Requisitos para el cambio de carrera</x:v>
      </x:c>
      <x:c r="J190" s="12" t="str">
        <x:v>https://www.tec.ac.cr/reglamento-admision-carreras-grado-instituto-tecnologico-costa-rica</x:v>
      </x:c>
      <x:c r="K190" s="12" t="str">
        <x:v>Podrá optar por el cambio de carrera quien haya cursado y aprobado seis créditos del plan de estudios en el cual está matriculado(a). Se utilizará como criterio de selección el promedio ponderado de calificaciones de todas las materias cursadas en el último periodo.</x:v>
      </x:c>
      <x:c r="L190" s="12" t="str">
        <x:v>tec-admision-grado::article-39::chunk-001</x:v>
      </x:c>
      <x:c r="M190" s="12" t="str">
        <x:v>tec-admision-grado</x:v>
      </x:c>
    </x:row>
    <x:row r="191" ht="92" customHeight="1">
      <x:c r="A191" s="11" t="str">
        <x:v>q038</x:v>
      </x:c>
      <x:c r="B191" s="11" t="str">
        <x:v>unanswerable</x:v>
      </x:c>
      <x:c r="C191" s="11" t="str">
        <x:v>F5</x:v>
      </x:c>
      <x:c r="D191" s="11" t="n">
        <x:v>5</x:v>
      </x:c>
      <x:c r="E191" s="14" t="n">
        <x:v>0.8581898212432861</x:v>
      </x:c>
      <x:c r="F191" s="11" t="str">
        <x:v>tec-rrea-2025::article-10</x:v>
      </x:c>
      <x:c r="G191" s="11" t="str">
        <x:v>No</x:v>
      </x:c>
      <x:c r="H191" s="11" t="str">
        <x:v>No</x:v>
      </x:c>
      <x:c r="I191" s="12" t="str">
        <x:v>Reglamento del Régimen Enseñanza-Aprendizaje del Instituto Tecnológico de Costa Rica, Artículo 10. De la asignación de citas de matrícula</x:v>
      </x:c>
      <x:c r="J191" s="12" t="str">
        <x:v>https://www.tec.ac.cr/reglamento-regimen-ensenanza-aprendizaje-instituto-tecnologico-costa-rica</x:v>
      </x:c>
      <x:c r="K191" s="12" t="str">
        <x:v>El Departamento de Admisión y Registro otorgará las citas de matrícula de carreras de grado utilizando los siguientes criterios de ordenamiento, respetando la siguiente prioridad: a. Mayor diferencia entre créditos ganados y créditos perdidos b. Mayor promedio ponderado c. Mayor número de créditos ganados d. Menor número de créditos perdidos e. Azar Los criterios anteriores se aplicarán usando el último período lectivo ordinario registrado al momento en que se generen las citas. En el caso de estudios de posgrado, cada dependencia o subdependencia del programa académico define el procedimiento de matrícula, según corresponda.</x:v>
      </x:c>
      <x:c r="L191" s="12" t="str">
        <x:v>tec-rrea-2025::article-10::chunk-001</x:v>
      </x:c>
      <x:c r="M191" s="12" t="str">
        <x:v>tec-rrea-2025</x:v>
      </x:c>
    </x:row>
    <x:row r="192" ht="92" customHeight="1">
      <x:c r="A192" s="11" t="str">
        <x:v>q039</x:v>
      </x:c>
      <x:c r="B192" s="11" t="str">
        <x:v>unanswerable</x:v>
      </x:c>
      <x:c r="C192" s="11" t="str">
        <x:v>F1</x:v>
      </x:c>
      <x:c r="D192" s="11" t="n">
        <x:v>1</x:v>
      </x:c>
      <x:c r="E192" s="14" t="n">
        <x:v>0.8535355925559998</x:v>
      </x:c>
      <x:c r="F192" s="11" t="str">
        <x:v>tec-rrea-2025::article-11</x:v>
      </x:c>
      <x:c r="G192" s="11" t="str">
        <x:v>No</x:v>
      </x:c>
      <x:c r="H192" s="11" t="str">
        <x:v>No</x:v>
      </x:c>
      <x:c r="I192" s="12" t="str">
        <x:v>Reglamento del Régimen Enseñanza-Aprendizaje del Instituto Tecnológico de Costa Rica, Artículo 11. De la reserva de cupos</x:v>
      </x:c>
      <x:c r="J192" s="12" t="str">
        <x:v>https://www.tec.ac.cr/reglamento-regimen-ensenanza-aprendizaje-instituto-tecnologico-costa-rica</x:v>
      </x:c>
      <x:c r="K192" s="12" t="str">
        <x:v>Podrán reservarse cupos en cursos ofertados en un periodo lectivo para: a. Personas estudiantes próximas a graduarse en los cursos pendientes en su plan de estudios. Para la aprobación de esa solicitud bastará con que el trámite sea realizado en el periodo indicado en el Calendario Institucional y Académico. b. Estudiantes con necesidades educativas resultado de condiciones psicosociales, motoras, neurológicas, de salud, cognitivas, físicas, sensoriales, entre otras, o bien en condición de discapacidad congénita o adquirida, temporal o permanente. Deberán contar con un dictamen o diagnóstico de una persona profesional experta debidamente inscrita en el Colegio Profesional respectivo, por la Caja Costarricense de Seguro Social (CCSS) u otra Institución de salud. Será competencia del programa que gestiona las acciones para la población de estudiantes con necesidades educativas y discapacidad valorar cada caso de forma individual y emitir una recomendación sobre la reserva de cupo. c. Estudiantes en condición de maternidad o paternidad, según recomendación de la Oficina de Equidad de Género. d. Personas estudiantes que, por su condición laboral demostrada ante la dirección o coordinación de la dependencia o subdependencia académica que ofrece una asignatura, necesiten el cupo en un grupo con un horario particular. La solicitud de reserva de cupo debe ser presentada por la persona interesada ante la dirección o coordinación de la instancia académica que ofrece el curso en el periodo señalado para tal fin y procede siempre y cuando la persona solicitante cuente con los requisitos de la asignatura, o bien con el respectivo levantamiento de requisitos. En aquellos cursos en los que se ofrece un solo grupo, si la dirección o coordinación de la instancia académica que lo ofrece ha verificado mediante un proceso de prematrícula que la cantidad de cupos solicitados es menor que los ofertados, no se tramitará reserva de cupos y la persona estudiante deberá realizar el proceso de matrícula. En caso de que la cantidad de solicitudes de reserva exceda la de cupos</x:v>
      </x:c>
      <x:c r="L192" s="12" t="str">
        <x:v>tec-rrea-2025::article-11::chunk-001</x:v>
      </x:c>
      <x:c r="M192" s="12" t="str">
        <x:v>tec-rrea-2025</x:v>
      </x:c>
    </x:row>
    <x:row r="193" ht="92" customHeight="1">
      <x:c r="A193" s="11" t="str">
        <x:v>q039</x:v>
      </x:c>
      <x:c r="B193" s="11" t="str">
        <x:v>unanswerable</x:v>
      </x:c>
      <x:c r="C193" s="11" t="str">
        <x:v>F2</x:v>
      </x:c>
      <x:c r="D193" s="11" t="n">
        <x:v>2</x:v>
      </x:c>
      <x:c r="E193" s="14" t="n">
        <x:v>0.8338717818260193</x:v>
      </x:c>
      <x:c r="F193" s="11" t="str">
        <x:v>tec-rrea-2025::article-11</x:v>
      </x:c>
      <x:c r="G193" s="11" t="str">
        <x:v>No</x:v>
      </x:c>
      <x:c r="H193" s="11" t="str">
        <x:v>No</x:v>
      </x:c>
      <x:c r="I193" s="12" t="str">
        <x:v>Reglamento del Régimen Enseñanza-Aprendizaje del Instituto Tecnológico de Costa Rica, Artículo 11. De la reserva de cupos</x:v>
      </x:c>
      <x:c r="J193" s="12" t="str">
        <x:v>https://www.tec.ac.cr/reglamento-regimen-ensenanza-aprendizaje-instituto-tecnologico-costa-rica</x:v>
      </x:c>
      <x:c r="K193" s="12" t="str">
        <x:v>cantidad de cupos solicitados es menor que los ofertados, no se tramitará reserva de cupos y la persona estudiante deberá realizar el proceso de matrícula. En caso de que la cantidad de solicitudes de reserva exceda la de cupos ofertados, tendrá prioridad quien tenga menor cantidad de cursos pendientes para graduarse. Además, cada instancia podrá definir criterios adicionales para priorizar la asignación de cupos. Artículo modificado mediante Sesión del Consejo Institucional, Sesión Ordinaria No. 3409, Artículo 9, del 28 de mayo del 2025. Publicado en Gaceta No. 1288, lunes 2 de junio del 2025.</x:v>
      </x:c>
      <x:c r="L193" s="12" t="str">
        <x:v>tec-rrea-2025::article-11::chunk-002</x:v>
      </x:c>
      <x:c r="M193" s="12" t="str">
        <x:v>tec-rrea-2025</x:v>
      </x:c>
    </x:row>
    <x:row r="194" ht="92" customHeight="1">
      <x:c r="A194" s="11" t="str">
        <x:v>q039</x:v>
      </x:c>
      <x:c r="B194" s="11" t="str">
        <x:v>unanswerable</x:v>
      </x:c>
      <x:c r="C194" s="11" t="str">
        <x:v>F3</x:v>
      </x:c>
      <x:c r="D194" s="11" t="n">
        <x:v>3</x:v>
      </x:c>
      <x:c r="E194" s="14" t="n">
        <x:v>0.8338610529899597</x:v>
      </x:c>
      <x:c r="F194" s="11" t="str">
        <x:v>tec-horas-estudiante-asistente::article-21</x:v>
      </x:c>
      <x:c r="G194" s="11" t="str">
        <x:v>No</x:v>
      </x:c>
      <x:c r="H194" s="11" t="str">
        <x:v>No</x:v>
      </x:c>
      <x:c r="I194" s="12" t="str">
        <x:v>Reglamento para la Asignación de Horas Estudiante y Horas Asistente en el Instituto Tecnológico de Costa Rica, Artículo 21</x:v>
      </x:c>
      <x:c r="J194" s="12" t="str">
        <x:v>https://www.tec.ac.cr/reglamento-asignacion-horas-estudiante-horas-asistente-instituto-tecnologico-costa-rica</x:v>
      </x:c>
      <x:c r="K194" s="12" t="str">
        <x:v>Luego de confirmar el exceso de carga laboral del funcionario, constatar que las tareas propuestas para el estudiante corresponden a la modalidad solicitada y aprobarlas, y verificar con el Comité las disponibilidades para su dependencia, el superior jerárquico deberá anunciar, mediante avisos por escrito, los requerimientos de horas estudiantes y horas asistente durante un período de cinco días hábiles, indicando las características y requisitos que, en razón de la función a desempeñar, deben reunir los estudiantes. En ese lapso, los interesados harán la solicitud en los formularios destinados para tal fin, aportando además la información que haga constar que están debidamente matriculados en la Institución. Las dependencias enviarán copia del anuncio que publiquen a la FEITEC, o a las Asociaciones de Carrera en el caso de los Campus Tecnológicos Locales y Centros Académicos, para su divulgación. Así reformado por acuerdo del Consejo Institucional, Sesión Ordinaria Número 3253, Artículo 9 del 2 de marzo del 2022. Publicado en fecha 3 de marzo del 2022 mediante la Gaceta Número 882-2022 de fecha 3 de marzo del 2022. Interpretación del Artículo 21 La asignación de horas estudiante u horas asistentes es obligatoria para los profesores cuya carga estimada por la aplicación del “Manual de Normas y Procedimientos para el Cálculo de la Carga del Profesor en el ITCR” exceda la jornada de contratación según lo dispuesto en el Artículo 24 de ese cuerpo normativo, en el marco de los recursos presupuestarios disponibles. Adicionalmente, es posible la asignación a los profesores cuya carga estimada por el “Manual de Normas y Procedimientos para el Cálculo de la carga del profesor en el ITCR” no exceda la jornada de contratación, en aquellos casos en que la estimación que haga el superior jerárquico derive la necesidad de que cuente con ese tipo de apoyo, en consideración de la naturaleza y características de las actividades que integran</x:v>
      </x:c>
      <x:c r="L194" s="12" t="str">
        <x:v>tec-horas-estudiante-asistente::article-21::chunk-001</x:v>
      </x:c>
      <x:c r="M194" s="12" t="str">
        <x:v>tec-horas-estudiante-asistente</x:v>
      </x:c>
    </x:row>
    <x:row r="195" ht="92" customHeight="1">
      <x:c r="A195" s="11" t="str">
        <x:v>q039</x:v>
      </x:c>
      <x:c r="B195" s="11" t="str">
        <x:v>unanswerable</x:v>
      </x:c>
      <x:c r="C195" s="11" t="str">
        <x:v>F4</x:v>
      </x:c>
      <x:c r="D195" s="11" t="n">
        <x:v>4</x:v>
      </x:c>
      <x:c r="E195" s="14" t="n">
        <x:v>0.8323729634284973</x:v>
      </x:c>
      <x:c r="F195" s="11" t="str">
        <x:v>tec-admision-grado::article-23</x:v>
      </x:c>
      <x:c r="G195" s="11" t="str">
        <x:v>No</x:v>
      </x:c>
      <x:c r="H195" s="11" t="str">
        <x:v>No</x:v>
      </x:c>
      <x:c r="I195" s="12" t="str">
        <x:v>Reglamento de Admisión a Carreras de Grado en el Instituto Tecnológico de Costa Rica, Artículo 23. Cupos para la Admisión Restringida</x:v>
      </x:c>
      <x:c r="J195" s="12" t="str">
        <x:v>https://www.tec.ac.cr/reglamento-admision-carreras-grado-instituto-tecnologico-costa-rica</x:v>
      </x:c>
      <x:c r="K195" s="12" t="str">
        <x:v>El cupo que se asignará a la modalidad de Admisión Restringida será de un 10% de los cupos aprobados para estudiantes de primer ingreso en las carreras de grado. El titular de la Vicerrectoría de Vida Estudiantil y Servicios Académicos podrá aprobar la ampliación de los cupos hasta un 15% para las carreras con mayor cantidad de solicitudes, considerando que la matrícula total en esta modalidad no sobrepase el 10% de la matrícula total de primer ingreso. El 5% adicional de las carreras que presenten sobredemanda, correspondientes a las áreas de ciencia, tecnología, ingeniería y matemática, se asignará seleccionando de manera alterna, en primer lugar, una mujer y luego un hombre, así sucesivamente hasta agotar los espacios y observando los criterios señalados en el artículo siguiente. Los cupos aprobados por esta vía que no se utilicen serán habilitados en la matrícula ordinaria de Admisión Abierta de estudiantes nuevos.</x:v>
      </x:c>
      <x:c r="L195" s="12" t="str">
        <x:v>tec-admision-grado::article-23::chunk-001</x:v>
      </x:c>
      <x:c r="M195" s="12" t="str">
        <x:v>tec-admision-grado</x:v>
      </x:c>
    </x:row>
    <x:row r="196" ht="92" customHeight="1">
      <x:c r="A196" s="11" t="str">
        <x:v>q039</x:v>
      </x:c>
      <x:c r="B196" s="11" t="str">
        <x:v>unanswerable</x:v>
      </x:c>
      <x:c r="C196" s="11" t="str">
        <x:v>F5</x:v>
      </x:c>
      <x:c r="D196" s="11" t="n">
        <x:v>5</x:v>
      </x:c>
      <x:c r="E196" s="14" t="n">
        <x:v>0.8316328525543213</x:v>
      </x:c>
      <x:c r="F196" s="11" t="str">
        <x:v>tec-rrea-2025::article-57</x:v>
      </x:c>
      <x:c r="G196" s="11" t="str">
        <x:v>No</x:v>
      </x:c>
      <x:c r="H196" s="11" t="str">
        <x:v>No</x:v>
      </x:c>
      <x:c r="I196" s="12" t="str">
        <x:v>Reglamento del Régimen Enseñanza-Aprendizaje del Instituto Tecnológico de Costa Rica, Artículo 57. De las pruebas por suficiencia</x:v>
      </x:c>
      <x:c r="J196" s="12" t="str">
        <x:v>https://www.tec.ac.cr/reglamento-regimen-ensenanza-aprendizaje-instituto-tecnologico-costa-rica</x:v>
      </x:c>
      <x:c r="K196" s="12" t="str">
        <x:v>La persona estudiante regular que considere que domina el contenido de una asignatura cuyo programa contemple la posibilidad de ser presentada por suficiencia podrá inscribirse para realizar esta prueba, en el periodo establecido en el Calendario Académico. La dependencia respectiva deberá proporcionar a la persona estudiante interesada en realizar la prueba por suficiencia, el programa del curso y la fecha en que se aplicará. En caso de que la persona estudiante requiera apoyos educativos para la aplicación de la prueba, la dependencia que imparte el curso, en coordinación con la persona estudiante, gestionará las acciones necesarias para aplicar los ajustes requeridos con la asesoría de los programas institucionales correspondientes. Los cursos se aprobarán por suficiencia si la persona obtiene una nota mínima de 70 en el caso de grado y de 80 en el posgrado, aplicando las reglas de redondeo establecidas por este reglamento para la nota final de cursos. La nota obtenida se asignará en forma numérica y no se tomará en cuenta para el cálculo del promedio ponderado. La prueba por suficiencia puede presentarse solo una vez por cada asignatura. Las pruebas de suficiencia son prioritarias respecto de otras actividades académicas, por lo cual la realización de una de estas pruebas dentro del periodo previsto en el calendario académico es motivo para que la persona estudiante tenga derecho a que se le justifique la ausencia a una clase o se le reponga otra actividad de evaluación con la que tuvo choque de horario. Artículo modificado por el Consejo Institucional, Sesión n.° 3416, Artículo 9, del 30 de julio del 2025. Publicado en Gaceta n.° 1293 del 04 de agosto del 2025.</x:v>
      </x:c>
      <x:c r="L196" s="12" t="str">
        <x:v>tec-rrea-2025::article-57::chunk-001</x:v>
      </x:c>
      <x:c r="M196" s="12" t="str">
        <x:v>tec-rrea-2025</x:v>
      </x:c>
    </x:row>
    <x:row r="197" ht="92" customHeight="1">
      <x:c r="A197" s="11" t="str">
        <x:v>q040</x:v>
      </x:c>
      <x:c r="B197" s="11" t="str">
        <x:v>unanswerable</x:v>
      </x:c>
      <x:c r="C197" s="11" t="str">
        <x:v>F1</x:v>
      </x:c>
      <x:c r="D197" s="11" t="n">
        <x:v>1</x:v>
      </x:c>
      <x:c r="E197" s="14" t="n">
        <x:v>0.851904034614563</x:v>
      </x:c>
      <x:c r="F197" s="11" t="str">
        <x:v>tec-horas-estudiante-asistente::article-21</x:v>
      </x:c>
      <x:c r="G197" s="11" t="str">
        <x:v>No</x:v>
      </x:c>
      <x:c r="H197" s="11" t="str">
        <x:v>No</x:v>
      </x:c>
      <x:c r="I197" s="12" t="str">
        <x:v>Reglamento para la Asignación de Horas Estudiante y Horas Asistente en el Instituto Tecnológico de Costa Rica, Artículo 21</x:v>
      </x:c>
      <x:c r="J197" s="12" t="str">
        <x:v>https://www.tec.ac.cr/reglamento-asignacion-horas-estudiante-horas-asistente-instituto-tecnologico-costa-rica</x:v>
      </x:c>
      <x:c r="K197" s="12" t="str">
        <x:v>Luego de confirmar el exceso de carga laboral del funcionario, constatar que las tareas propuestas para el estudiante corresponden a la modalidad solicitada y aprobarlas, y verificar con el Comité las disponibilidades para su dependencia, el superior jerárquico deberá anunciar, mediante avisos por escrito, los requerimientos de horas estudiantes y horas asistente durante un período de cinco días hábiles, indicando las características y requisitos que, en razón de la función a desempeñar, deben reunir los estudiantes. En ese lapso, los interesados harán la solicitud en los formularios destinados para tal fin, aportando además la información que haga constar que están debidamente matriculados en la Institución. Las dependencias enviarán copia del anuncio que publiquen a la FEITEC, o a las Asociaciones de Carrera en el caso de los Campus Tecnológicos Locales y Centros Académicos, para su divulgación. Así reformado por acuerdo del Consejo Institucional, Sesión Ordinaria Número 3253, Artículo 9 del 2 de marzo del 2022. Publicado en fecha 3 de marzo del 2022 mediante la Gaceta Número 882-2022 de fecha 3 de marzo del 2022. Interpretación del Artículo 21 La asignación de horas estudiante u horas asistentes es obligatoria para los profesores cuya carga estimada por la aplicación del “Manual de Normas y Procedimientos para el Cálculo de la Carga del Profesor en el ITCR” exceda la jornada de contratación según lo dispuesto en el Artículo 24 de ese cuerpo normativo, en el marco de los recursos presupuestarios disponibles. Adicionalmente, es posible la asignación a los profesores cuya carga estimada por el “Manual de Normas y Procedimientos para el Cálculo de la carga del profesor en el ITCR” no exceda la jornada de contratación, en aquellos casos en que la estimación que haga el superior jerárquico derive la necesidad de que cuente con ese tipo de apoyo, en consideración de la naturaleza y características de las actividades que integran</x:v>
      </x:c>
      <x:c r="L197" s="12" t="str">
        <x:v>tec-horas-estudiante-asistente::article-21::chunk-001</x:v>
      </x:c>
      <x:c r="M197" s="12" t="str">
        <x:v>tec-horas-estudiante-asistente</x:v>
      </x:c>
    </x:row>
    <x:row r="198" ht="92" customHeight="1">
      <x:c r="A198" s="11" t="str">
        <x:v>q040</x:v>
      </x:c>
      <x:c r="B198" s="11" t="str">
        <x:v>unanswerable</x:v>
      </x:c>
      <x:c r="C198" s="11" t="str">
        <x:v>F2</x:v>
      </x:c>
      <x:c r="D198" s="11" t="n">
        <x:v>2</x:v>
      </x:c>
      <x:c r="E198" s="14" t="n">
        <x:v>0.8464272022247314</x:v>
      </x:c>
      <x:c r="F198" s="11" t="str">
        <x:v>tec-horas-estudiante-asistente::article-13</x:v>
      </x:c>
      <x:c r="G198" s="11" t="str">
        <x:v>No</x:v>
      </x:c>
      <x:c r="H198" s="11" t="str">
        <x:v>No</x:v>
      </x:c>
      <x:c r="I198" s="12" t="str">
        <x:v>Reglamento para la Asignación de Horas Estudiante y Horas Asistente en el Instituto Tecnológico de Costa Rica, Artículo 13</x:v>
      </x:c>
      <x:c r="J198" s="12" t="str">
        <x:v>https://www.tec.ac.cr/reglamento-asignacion-horas-estudiante-horas-asistente-instituto-tecnologico-costa-rica</x:v>
      </x:c>
      <x:c r="K198" s="12" t="str">
        <x:v>El mínimo de horas semanales que se podrán asignar a un estudiante por estos conceptos serán de cinco y el máximo de diez, y podrán efectuarse en la oficina del funcionario asistido o fuera de esta, según la índole de la función. El horario a cumplir por el estudiante se establecerá de común acuerdo entre este y el funcionario.</x:v>
      </x:c>
      <x:c r="L198" s="12" t="str">
        <x:v>tec-horas-estudiante-asistente::article-13::chunk-001</x:v>
      </x:c>
      <x:c r="M198" s="12" t="str">
        <x:v>tec-horas-estudiante-asistente</x:v>
      </x:c>
    </x:row>
    <x:row r="199" ht="92" customHeight="1">
      <x:c r="A199" s="11" t="str">
        <x:v>q040</x:v>
      </x:c>
      <x:c r="B199" s="11" t="str">
        <x:v>unanswerable</x:v>
      </x:c>
      <x:c r="C199" s="11" t="str">
        <x:v>F3</x:v>
      </x:c>
      <x:c r="D199" s="11" t="n">
        <x:v>3</x:v>
      </x:c>
      <x:c r="E199" s="14" t="n">
        <x:v>0.8439598679542542</x:v>
      </x:c>
      <x:c r="F199" s="11" t="str">
        <x:v>tec-horas-estudiante-asistente::article-20</x:v>
      </x:c>
      <x:c r="G199" s="11" t="str">
        <x:v>No</x:v>
      </x:c>
      <x:c r="H199" s="11" t="str">
        <x:v>No</x:v>
      </x:c>
      <x:c r="I199" s="12" t="str">
        <x:v>Reglamento para la Asignación de Horas Estudiante y Horas Asistente en el Instituto Tecnológico de Costa Rica, Artículo 20</x:v>
      </x:c>
      <x:c r="J199" s="12" t="str">
        <x:v>https://www.tec.ac.cr/reglamento-asignacion-horas-estudiante-horas-asistente-instituto-tecnologico-costa-rica</x:v>
      </x:c>
      <x:c r="K199" s="12" t="str">
        <x:v>El responsable de cada dependencia podrá solicitar al Comité horas estudiante, cuando el volumen de los programas a su cargo lo justifiquen, según lo establecido en la reglamentación correspondiente, para lo cual deberá contar con la anuencia previa del Rector, Vicerrector, Dirección de Campus Tecnológico Local o Centro Académico, según corresponda. Así reformado por acuerdo del Consejo Institucional, Sesión Ordinaria Número 3253, Artículo 9 del 2 de marzo del 2022. Publicado en fecha 3 de marzo del 2022 mediante la Gaceta Número 882-2022 de fecha 3 de marzo del 2022.</x:v>
      </x:c>
      <x:c r="L199" s="12" t="str">
        <x:v>tec-horas-estudiante-asistente::article-20::chunk-001</x:v>
      </x:c>
      <x:c r="M199" s="12" t="str">
        <x:v>tec-horas-estudiante-asistente</x:v>
      </x:c>
    </x:row>
    <x:row r="200" ht="92" customHeight="1">
      <x:c r="A200" s="11" t="str">
        <x:v>q040</x:v>
      </x:c>
      <x:c r="B200" s="11" t="str">
        <x:v>unanswerable</x:v>
      </x:c>
      <x:c r="C200" s="11" t="str">
        <x:v>F4</x:v>
      </x:c>
      <x:c r="D200" s="11" t="n">
        <x:v>4</x:v>
      </x:c>
      <x:c r="E200" s="14" t="n">
        <x:v>0.8423211574554443</x:v>
      </x:c>
      <x:c r="F200" s="11" t="str">
        <x:v>tec-horas-estudiante-asistente::article-21</x:v>
      </x:c>
      <x:c r="G200" s="11" t="str">
        <x:v>No</x:v>
      </x:c>
      <x:c r="H200" s="11" t="str">
        <x:v>No</x:v>
      </x:c>
      <x:c r="I200" s="12" t="str">
        <x:v>Reglamento para la Asignación de Horas Estudiante y Horas Asistente en el Instituto Tecnológico de Costa Rica, Artículo 21</x:v>
      </x:c>
      <x:c r="J200" s="12" t="str">
        <x:v>https://www.tec.ac.cr/reglamento-asignacion-horas-estudiante-horas-asistente-instituto-tecnologico-costa-rica</x:v>
      </x:c>
      <x:c r="K200" s="12" t="str">
        <x:v>ceda la jornada de contratación, en aquellos casos en que la estimación que haga el superior jerárquico derive la necesidad de que cuente con ese tipo de apoyo, en consideración de la naturaleza y características de las actividades que integran el plan de trabajo o la eventual atención de actividades no contempladas formalmente en éste, que cuentan con el aval de instancias institucionales y en el marco de los recursos presupuestarios disponibles. Aprobado en Sesión 3054, Artículo 11, del 31 de enero de 2017. Gaceta No. 499 del 01 de febrero de 2018</x:v>
      </x:c>
      <x:c r="L200" s="12" t="str">
        <x:v>tec-horas-estudiante-asistente::article-21::chunk-002</x:v>
      </x:c>
      <x:c r="M200" s="12" t="str">
        <x:v>tec-horas-estudiante-asistente</x:v>
      </x:c>
    </x:row>
    <x:row r="201" ht="92" customHeight="1">
      <x:c r="A201" s="11" t="str">
        <x:v>q040</x:v>
      </x:c>
      <x:c r="B201" s="11" t="str">
        <x:v>unanswerable</x:v>
      </x:c>
      <x:c r="C201" s="11" t="str">
        <x:v>F5</x:v>
      </x:c>
      <x:c r="D201" s="11" t="n">
        <x:v>5</x:v>
      </x:c>
      <x:c r="E201" s="14" t="n">
        <x:v>0.8419710993766785</x:v>
      </x:c>
      <x:c r="F201" s="11" t="str">
        <x:v>tec-beca-asistente-especial::article-12</x:v>
      </x:c>
      <x:c r="G201" s="11" t="str">
        <x:v>No</x:v>
      </x:c>
      <x:c r="H201" s="11" t="str">
        <x:v>No</x:v>
      </x:c>
      <x:c r="I201" s="12" t="str">
        <x:v>Reglamento de Beca del Estudiante Asistente Especial del Instituto Tecnológico de Costa Rica, Artículo 12</x:v>
      </x:c>
      <x:c r="J201" s="12" t="str">
        <x:v>https://www.tec.ac.cr/reglamento-beca-estudiante-asistente-especial-instituto-tecnologico-costa-rica</x:v>
      </x:c>
      <x:c r="K201" s="12" t="str">
        <x:v>Las horas por semana que un(a) estudiante beneficiario(a) podrá dedicar para efectuar las actividades mencionadas, será de un mínimo de diez y un máximo de veinte, las cuales el o la estudiante las podrá efectuar en la oficina del o la funcionario(a) responsable o fuera de esta, según la índole de la función. El horario para ello se establecerá de común acuerdo entre el o la estudiante y el o la funcionario(a) respectivo(a).</x:v>
      </x:c>
      <x:c r="L201" s="12" t="str">
        <x:v>tec-beca-asistente-especial::article-12::chunk-001</x:v>
      </x:c>
      <x:c r="M201" s="12" t="str">
        <x:v>tec-beca-asistente-especial</x:v>
      </x:c>
    </x:row>
  </x:sheetData>
  <x:pageMargins left="0.7" right="0.7" top="0.75" bottom="0.75" header="0.3" footer="0.3"/>
  <x:tableParts count="1">
    <x:tablePart xmlns:r="http://schemas.openxmlformats.org/officeDocument/2006/relationships" r:id="R1b4c5107d8f7487d"/>
  </x:tableParts>
</x:worksheet>
</file>

<file path=xl/worksheets/sheet6.xml><?xml version="1.0" encoding="utf-8"?>
<x:worksheet xmlns:x="http://schemas.openxmlformats.org/spreadsheetml/2006/main">
  <x:sheetViews>
    <x:sheetView showGridLines="0" workbookViewId="0"/>
  </x:sheetViews>
  <x:sheetFormatPr defaultRowHeight="15"/>
  <x:cols>
    <x:col min="1" max="1" width="22" hidden="0" customWidth="1"/>
    <x:col min="2" max="2" width="18" hidden="0" customWidth="1"/>
    <x:col min="3" max="3" width="20" hidden="0" customWidth="1"/>
    <x:col min="4" max="4" width="18" hidden="0" customWidth="1"/>
    <x:col min="5" max="5" width="18" hidden="0" customWidth="1"/>
    <x:col min="6" max="6" width="18" hidden="0" customWidth="1"/>
  </x:cols>
  <x:sheetData>
    <x:row r="1">
      <x:c r="A1" s="6" t="str">
        <x:v>Corrección factual</x:v>
      </x:c>
      <x:c r="B1" s="6" t="str">
        <x:v>Cobertura</x:v>
      </x:c>
      <x:c r="C1" s="6" t="str">
        <x:v>Fidelidad</x:v>
      </x:c>
      <x:c r="D1" s="6" t="str">
        <x:v>Claridad</x:v>
      </x:c>
      <x:c r="E1" s="6" t="str">
        <x:v>Gold adecuado</x:v>
      </x:c>
      <x:c r="F1" s="6" t="str">
        <x:v>Conclusión</x:v>
      </x:c>
    </x:row>
    <x:row r="2">
      <x:c r="A2" s="8" t="str">
        <x:v>Correcta</x:v>
      </x:c>
      <x:c r="B2" s="8" t="str">
        <x:v>Completa</x:v>
      </x:c>
      <x:c r="C2" s="8" t="str">
        <x:v>Total</x:v>
      </x:c>
      <x:c r="D2" s="8" t="str">
        <x:v>Clara</x:v>
      </x:c>
      <x:c r="E2" s="8" t="str">
        <x:v>Sí</x:v>
      </x:c>
      <x:c r="F2" s="8" t="str">
        <x:v>Aprobada</x:v>
      </x:c>
    </x:row>
    <x:row r="3">
      <x:c r="A3" s="9" t="str">
        <x:v>Parcial</x:v>
      </x:c>
      <x:c r="B3" s="9" t="str">
        <x:v>Parcial</x:v>
      </x:c>
      <x:c r="C3" s="9" t="str">
        <x:v>Parcial</x:v>
      </x:c>
      <x:c r="D3" s="9" t="str">
        <x:v>Mejorable</x:v>
      </x:c>
      <x:c r="E3" s="9" t="str">
        <x:v>No</x:v>
      </x:c>
      <x:c r="F3" s="9" t="str">
        <x:v>Revisar</x:v>
      </x:c>
    </x:row>
    <x:row r="4">
      <x:c r="A4" s="9" t="str">
        <x:v>Incorrecta</x:v>
      </x:c>
      <x:c r="B4" s="9" t="str">
        <x:v>Insuficiente</x:v>
      </x:c>
      <x:c r="C4" s="9" t="str">
        <x:v>No respaldada</x:v>
      </x:c>
      <x:c r="D4" s="9" t="str">
        <x:v>Confusa</x:v>
      </x:c>
      <x:c r="E4" s="9" t="str">
        <x:v>Dudosa</x:v>
      </x:c>
      <x:c r="F4" s="9" t="str">
        <x:v>Rechazada</x:v>
      </x:c>
    </x:row>
    <x:row r="5">
      <x:c r="A5" s="10" t="str">
        <x:v>No aplica</x:v>
      </x:c>
      <x:c r="B5" s="10" t="str">
        <x:v>No aplica</x:v>
      </x:c>
      <x:c r="C5" s="10" t="str">
        <x:v>No aplica</x:v>
      </x:c>
      <x:c r="D5" s="10" t="str">
        <x:v>No aplica</x:v>
      </x:c>
      <x:c r="E5" s="10" t="str">
        <x:v>No aplica</x:v>
      </x:c>
      <x:c r="F5" s="10" t="str">
        <x:v>No aplica</x:v>
      </x:c>
    </x:row>
  </x:sheetData>
  <x:pageMargins left="0.7" right="0.7" top="0.75" bottom="0.75" header="0.3" footer="0.3"/>
</x:worksheet>
</file>